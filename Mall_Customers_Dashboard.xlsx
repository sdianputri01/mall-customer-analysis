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dian\Downloads\"/>
    </mc:Choice>
  </mc:AlternateContent>
  <xr:revisionPtr revIDLastSave="0" documentId="8_{7076F20E-691B-457E-90DF-0F814D6FB5CB}" xr6:coauthVersionLast="47" xr6:coauthVersionMax="47" xr10:uidLastSave="{00000000-0000-0000-0000-000000000000}"/>
  <bookViews>
    <workbookView xWindow="11424" yWindow="0" windowWidth="11712" windowHeight="12336" xr2:uid="{00000000-000D-0000-FFFF-FFFF00000000}"/>
  </bookViews>
  <sheets>
    <sheet name="Dashboard" sheetId="6" r:id="rId1"/>
    <sheet name="Pivots" sheetId="3" r:id="rId2"/>
    <sheet name="Data" sheetId="1" r:id="rId3"/>
  </sheets>
  <definedNames>
    <definedName name="Slicer_Age_Group">#N/A</definedName>
    <definedName name="Slicer_Gender">#N/A</definedName>
    <definedName name="Slicer_Income_Level">#N/A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7" i="6" l="1"/>
  <c r="I7" i="6"/>
  <c r="E7" i="6"/>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 i="1"/>
</calcChain>
</file>

<file path=xl/sharedStrings.xml><?xml version="1.0" encoding="utf-8"?>
<sst xmlns="http://schemas.openxmlformats.org/spreadsheetml/2006/main" count="231" uniqueCount="27">
  <si>
    <t>CustomerID</t>
  </si>
  <si>
    <t>Gender</t>
  </si>
  <si>
    <t>Age</t>
  </si>
  <si>
    <t>Annual Income (k$)</t>
  </si>
  <si>
    <t>Spending Score (1-100)</t>
  </si>
  <si>
    <t>Age Group</t>
  </si>
  <si>
    <t>Income Level</t>
  </si>
  <si>
    <t>Male</t>
  </si>
  <si>
    <t>Female</t>
  </si>
  <si>
    <t>Row Labels</t>
  </si>
  <si>
    <t>Grand Total</t>
  </si>
  <si>
    <t>Count of CustomerID</t>
  </si>
  <si>
    <t>&lt;25</t>
  </si>
  <si>
    <t>25-34</t>
  </si>
  <si>
    <t>35-44</t>
  </si>
  <si>
    <t>45-54</t>
  </si>
  <si>
    <t>55+</t>
  </si>
  <si>
    <t>Average of Spending Score (1-100)</t>
  </si>
  <si>
    <t>High</t>
  </si>
  <si>
    <t>Low</t>
  </si>
  <si>
    <t>Medium</t>
  </si>
  <si>
    <t>Average of Annual Income (k$)</t>
  </si>
  <si>
    <t>MALL CUSTOMER ANALYSIS DASHBOARD</t>
  </si>
  <si>
    <t>Analyzing customer spending patterns across demographics</t>
  </si>
  <si>
    <t>Total Customers</t>
  </si>
  <si>
    <t>Avg Annual Income ($k)</t>
  </si>
  <si>
    <t>Avg Spending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</si>
</sst>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20"/>
      <color theme="0"/>
      <name val="Arial Black"/>
      <family val="2"/>
    </font>
    <font>
      <i/>
      <sz val="12"/>
      <color theme="1"/>
      <name val="Calibri"/>
      <family val="2"/>
      <scheme val="minor"/>
    </font>
    <font>
      <b/>
      <sz val="26"/>
      <color theme="3" tint="-0.499984740745262"/>
      <name val="Calibri"/>
      <family val="2"/>
      <scheme val="minor"/>
    </font>
    <font>
      <b/>
      <sz val="11"/>
      <color theme="1" tint="0.14999847407452621"/>
      <name val="Calibri"/>
      <family val="2"/>
      <scheme val="minor"/>
    </font>
  </fonts>
  <fills count="7">
    <fill>
      <patternFill patternType="none"/>
    </fill>
    <fill>
      <patternFill patternType="gray125"/>
    </fill>
    <fill>
      <patternFill patternType="solid">
        <fgColor theme="3" tint="-0.499984740745262"/>
        <bgColor indexed="64"/>
      </patternFill>
    </fill>
    <fill>
      <patternFill patternType="solid">
        <fgColor rgb="FFFFFFCC"/>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s>
  <borders count="13">
    <border>
      <left/>
      <right/>
      <top/>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2" fillId="2" borderId="0" xfId="0" applyFont="1" applyFill="1" applyAlignment="1">
      <alignment horizontal="center"/>
    </xf>
    <xf numFmtId="0" fontId="0" fillId="4" borderId="0" xfId="0" applyFill="1"/>
    <xf numFmtId="0" fontId="3" fillId="5" borderId="0" xfId="0" applyFont="1" applyFill="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4" fillId="4" borderId="6"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0"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11" xfId="0" applyFont="1" applyFill="1" applyBorder="1" applyAlignment="1">
      <alignment horizontal="center" vertical="center"/>
    </xf>
    <xf numFmtId="0" fontId="4" fillId="4" borderId="12" xfId="0" applyFont="1" applyFill="1" applyBorder="1" applyAlignment="1">
      <alignment horizontal="center" vertical="center"/>
    </xf>
    <xf numFmtId="0" fontId="0" fillId="6" borderId="0" xfId="0" applyFill="1"/>
  </cellXfs>
  <cellStyles count="1">
    <cellStyle name="Normal" xfId="0" builtinId="0"/>
  </cellStyles>
  <dxfs count="1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[MallCustomersDashboard.xlsx]Pivots!PivotTable1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a:t>
            </a:r>
            <a:r>
              <a:rPr lang="en-US" sz="1600" b="1" baseline="0"/>
              <a:t> Distribution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99"/>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FF99"/>
          </a:solidFill>
          <a:ln w="19050">
            <a:solidFill>
              <a:schemeClr val="bg2">
                <a:lumMod val="90000"/>
              </a:schemeClr>
            </a:solidFill>
          </a:ln>
          <a:effectLst/>
        </c:spPr>
        <c:dLbl>
          <c:idx val="0"/>
          <c:layout>
            <c:manualLayout>
              <c:x val="-0.14445997375328085"/>
              <c:y val="-1.593795567220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tx2">
              <a:lumMod val="50000"/>
            </a:schemeClr>
          </a:solidFill>
          <a:ln w="19050">
            <a:solidFill>
              <a:schemeClr val="bg2">
                <a:lumMod val="90000"/>
              </a:schemeClr>
            </a:solidFill>
          </a:ln>
          <a:effectLst/>
        </c:spPr>
        <c:dLbl>
          <c:idx val="0"/>
          <c:layout>
            <c:manualLayout>
              <c:x val="0.13401093613298337"/>
              <c:y val="1.98771507728200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2D4492-7FEA-4163-AD3E-2CC1678FA90D}" type="CATEGORYNAM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chemeClr val="bg1"/>
                    </a:solidFill>
                  </a:rPr>
                  <a:t>
</a:t>
                </a:r>
                <a:fld id="{F23C662A-6E5C-4EBB-9945-EC3FADFE7F12}" type="PERCENTAGE">
                  <a:rPr lang="en-US"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FFFF99"/>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FFFF99"/>
          </a:solidFill>
          <a:ln w="19050">
            <a:solidFill>
              <a:schemeClr val="bg2">
                <a:lumMod val="90000"/>
              </a:schemeClr>
            </a:solidFill>
          </a:ln>
          <a:effectLst/>
        </c:spPr>
        <c:dLbl>
          <c:idx val="0"/>
          <c:layout>
            <c:manualLayout>
              <c:x val="-0.14445997375328085"/>
              <c:y val="-1.593795567220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tx2">
              <a:lumMod val="50000"/>
            </a:schemeClr>
          </a:solidFill>
          <a:ln w="19050">
            <a:solidFill>
              <a:schemeClr val="bg2">
                <a:lumMod val="90000"/>
              </a:schemeClr>
            </a:solidFill>
          </a:ln>
          <a:effectLst/>
        </c:spPr>
        <c:dLbl>
          <c:idx val="0"/>
          <c:layout>
            <c:manualLayout>
              <c:x val="0.13401093613298337"/>
              <c:y val="1.98771507728200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2D4492-7FEA-4163-AD3E-2CC1678FA90D}" type="CATEGORYNAM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chemeClr val="bg1"/>
                    </a:solidFill>
                  </a:rPr>
                  <a:t>
</a:t>
                </a:r>
                <a:fld id="{F23C662A-6E5C-4EBB-9945-EC3FADFE7F12}" type="PERCENTAGE">
                  <a:rPr lang="en-US"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FFFF99"/>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FFFF99"/>
          </a:solidFill>
          <a:ln w="19050">
            <a:solidFill>
              <a:schemeClr val="bg2">
                <a:lumMod val="90000"/>
              </a:schemeClr>
            </a:solidFill>
          </a:ln>
          <a:effectLst/>
        </c:spPr>
        <c:dLbl>
          <c:idx val="0"/>
          <c:layout>
            <c:manualLayout>
              <c:x val="-0.18268619518890414"/>
              <c:y val="-1.593802640341608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tx2">
              <a:lumMod val="50000"/>
            </a:schemeClr>
          </a:solidFill>
          <a:ln w="19050">
            <a:solidFill>
              <a:schemeClr val="bg2">
                <a:lumMod val="90000"/>
              </a:schemeClr>
            </a:solidFill>
          </a:ln>
          <a:effectLst/>
        </c:spPr>
        <c:dLbl>
          <c:idx val="0"/>
          <c:layout>
            <c:manualLayout>
              <c:x val="0.13401093613298337"/>
              <c:y val="1.9877150772820065E-2"/>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C62D4492-7FEA-4163-AD3E-2CC1678FA90D}" type="CATEGORYNAME">
                  <a:rPr lang="en-US" sz="1100">
                    <a:solidFill>
                      <a:schemeClr val="bg1"/>
                    </a:solidFill>
                  </a:rPr>
                  <a:pPr>
                    <a:defRPr sz="1000"/>
                  </a:pPr>
                  <a:t>[CATEGORY NAME]</a:t>
                </a:fld>
                <a:r>
                  <a:rPr lang="en-US" sz="1100" baseline="0">
                    <a:solidFill>
                      <a:schemeClr val="bg1"/>
                    </a:solidFill>
                  </a:rPr>
                  <a:t>
</a:t>
                </a:r>
                <a:fld id="{F23C662A-6E5C-4EBB-9945-EC3FADFE7F12}" type="PERCENTAGE">
                  <a:rPr lang="en-US" sz="1100" baseline="0">
                    <a:solidFill>
                      <a:schemeClr val="bg1"/>
                    </a:solidFill>
                  </a:rPr>
                  <a:pPr>
                    <a:defRPr sz="1000"/>
                  </a:pPr>
                  <a:t>[PERCENTAGE]</a:t>
                </a:fld>
                <a:endParaRPr lang="en-US" sz="11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Pivots!$B$3</c:f>
              <c:strCache>
                <c:ptCount val="1"/>
                <c:pt idx="0">
                  <c:v>Total</c:v>
                </c:pt>
              </c:strCache>
            </c:strRef>
          </c:tx>
          <c:spPr>
            <a:solidFill>
              <a:srgbClr val="FFFF99"/>
            </a:solidFill>
            <a:ln>
              <a:solidFill>
                <a:schemeClr val="bg2">
                  <a:lumMod val="90000"/>
                </a:schemeClr>
              </a:solidFill>
            </a:ln>
          </c:spPr>
          <c:dPt>
            <c:idx val="0"/>
            <c:bubble3D val="0"/>
            <c:spPr>
              <a:solidFill>
                <a:srgbClr val="FFFF99"/>
              </a:solidFill>
              <a:ln w="19050">
                <a:solidFill>
                  <a:schemeClr val="bg2">
                    <a:lumMod val="90000"/>
                  </a:schemeClr>
                </a:solidFill>
              </a:ln>
              <a:effectLst/>
            </c:spPr>
            <c:extLst>
              <c:ext xmlns:c16="http://schemas.microsoft.com/office/drawing/2014/chart" uri="{C3380CC4-5D6E-409C-BE32-E72D297353CC}">
                <c16:uniqueId val="{00000001-8A65-458D-A5D0-D03F9955ED70}"/>
              </c:ext>
            </c:extLst>
          </c:dPt>
          <c:dPt>
            <c:idx val="1"/>
            <c:bubble3D val="0"/>
            <c:spPr>
              <a:solidFill>
                <a:schemeClr val="tx2">
                  <a:lumMod val="50000"/>
                </a:schemeClr>
              </a:solidFill>
              <a:ln w="19050">
                <a:solidFill>
                  <a:schemeClr val="bg2">
                    <a:lumMod val="90000"/>
                  </a:schemeClr>
                </a:solidFill>
              </a:ln>
              <a:effectLst/>
            </c:spPr>
            <c:extLst>
              <c:ext xmlns:c16="http://schemas.microsoft.com/office/drawing/2014/chart" uri="{C3380CC4-5D6E-409C-BE32-E72D297353CC}">
                <c16:uniqueId val="{00000003-8A65-458D-A5D0-D03F9955ED70}"/>
              </c:ext>
            </c:extLst>
          </c:dPt>
          <c:dLbls>
            <c:dLbl>
              <c:idx val="0"/>
              <c:layout>
                <c:manualLayout>
                  <c:x val="-0.18268619518890414"/>
                  <c:y val="-1.593802640341608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A65-458D-A5D0-D03F9955ED70}"/>
                </c:ext>
              </c:extLst>
            </c:dLbl>
            <c:dLbl>
              <c:idx val="1"/>
              <c:layout>
                <c:manualLayout>
                  <c:x val="0.13401093613298337"/>
                  <c:y val="1.9877150772820065E-2"/>
                </c:manualLayout>
              </c:layout>
              <c:tx>
                <c:rich>
                  <a:bodyPr/>
                  <a:lstStyle/>
                  <a:p>
                    <a:fld id="{C62D4492-7FEA-4163-AD3E-2CC1678FA90D}" type="CATEGORYNAME">
                      <a:rPr lang="en-US" sz="1100">
                        <a:solidFill>
                          <a:schemeClr val="bg1"/>
                        </a:solidFill>
                      </a:rPr>
                      <a:pPr/>
                      <a:t>[CATEGORY NAME]</a:t>
                    </a:fld>
                    <a:r>
                      <a:rPr lang="en-US" sz="1100" baseline="0">
                        <a:solidFill>
                          <a:schemeClr val="bg1"/>
                        </a:solidFill>
                      </a:rPr>
                      <a:t>
</a:t>
                    </a:r>
                    <a:fld id="{F23C662A-6E5C-4EBB-9945-EC3FADFE7F12}" type="PERCENTAGE">
                      <a:rPr lang="en-US" sz="1100" baseline="0">
                        <a:solidFill>
                          <a:schemeClr val="bg1"/>
                        </a:solidFill>
                      </a:rPr>
                      <a:pPr/>
                      <a:t>[PERCENTAGE]</a:t>
                    </a:fld>
                    <a:endParaRPr lang="en-US" sz="1100"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A65-458D-A5D0-D03F9955ED7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Pivots!$A$4:$A$6</c:f>
              <c:strCache>
                <c:ptCount val="2"/>
                <c:pt idx="0">
                  <c:v>Female</c:v>
                </c:pt>
                <c:pt idx="1">
                  <c:v>Male</c:v>
                </c:pt>
              </c:strCache>
            </c:strRef>
          </c:cat>
          <c:val>
            <c:numRef>
              <c:f>Pivots!$B$4:$B$6</c:f>
              <c:numCache>
                <c:formatCode>General</c:formatCode>
                <c:ptCount val="2"/>
                <c:pt idx="0">
                  <c:v>112</c:v>
                </c:pt>
                <c:pt idx="1">
                  <c:v>88</c:v>
                </c:pt>
              </c:numCache>
            </c:numRef>
          </c:val>
          <c:extLst>
            <c:ext xmlns:c16="http://schemas.microsoft.com/office/drawing/2014/chart" uri="{C3380CC4-5D6E-409C-BE32-E72D297353CC}">
              <c16:uniqueId val="{00000004-8A65-458D-A5D0-D03F9955ED7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[MallCustomersDashboard.xlsx]Pivots!PivotTable2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Spending Score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Pivots!$H$3</c:f>
              <c:strCache>
                <c:ptCount val="1"/>
                <c:pt idx="0">
                  <c:v>Total</c:v>
                </c:pt>
              </c:strCache>
            </c:strRef>
          </c:tx>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Pivots!$G$4:$G$9</c:f>
              <c:strCache>
                <c:ptCount val="5"/>
                <c:pt idx="0">
                  <c:v>&lt;25</c:v>
                </c:pt>
                <c:pt idx="1">
                  <c:v>25-34</c:v>
                </c:pt>
                <c:pt idx="2">
                  <c:v>35-44</c:v>
                </c:pt>
                <c:pt idx="3">
                  <c:v>45-54</c:v>
                </c:pt>
                <c:pt idx="4">
                  <c:v>55+</c:v>
                </c:pt>
              </c:strCache>
            </c:strRef>
          </c:cat>
          <c:val>
            <c:numRef>
              <c:f>Pivots!$H$4:$H$9</c:f>
              <c:numCache>
                <c:formatCode>0.00</c:formatCode>
                <c:ptCount val="5"/>
                <c:pt idx="0">
                  <c:v>56.25714285714286</c:v>
                </c:pt>
                <c:pt idx="1">
                  <c:v>63.166666666666664</c:v>
                </c:pt>
                <c:pt idx="2">
                  <c:v>49.428571428571431</c:v>
                </c:pt>
                <c:pt idx="3">
                  <c:v>36.230769230769234</c:v>
                </c:pt>
                <c:pt idx="4">
                  <c:v>39.033333333333331</c:v>
                </c:pt>
              </c:numCache>
            </c:numRef>
          </c:val>
          <c:extLst>
            <c:ext xmlns:c16="http://schemas.microsoft.com/office/drawing/2014/chart" uri="{C3380CC4-5D6E-409C-BE32-E72D297353CC}">
              <c16:uniqueId val="{00000000-F7FE-4FEB-BFAC-118D6DADE225}"/>
            </c:ext>
          </c:extLst>
        </c:ser>
        <c:dLbls>
          <c:dLblPos val="outEnd"/>
          <c:showLegendKey val="0"/>
          <c:showVal val="1"/>
          <c:showCatName val="0"/>
          <c:showSerName val="0"/>
          <c:showPercent val="0"/>
          <c:showBubbleSize val="0"/>
        </c:dLbls>
        <c:gapWidth val="100"/>
        <c:overlap val="-24"/>
        <c:axId val="970439504"/>
        <c:axId val="775465248"/>
      </c:barChart>
      <c:catAx>
        <c:axId val="970439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5465248"/>
        <c:crosses val="autoZero"/>
        <c:auto val="1"/>
        <c:lblAlgn val="ctr"/>
        <c:lblOffset val="100"/>
        <c:noMultiLvlLbl val="0"/>
      </c:catAx>
      <c:valAx>
        <c:axId val="775465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7043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[MallCustomersDashboard.xlsx]Pivots!PivotTable3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Annual Income</a:t>
            </a:r>
            <a:r>
              <a:rPr lang="en-US" baseline="0"/>
              <a:t> by Income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a:t>
                </a:r>
                <a:fld id="{3D23DC30-9886-44CD-A9FD-07D48107C876}"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a:t>
                </a:r>
                <a:fld id="{EEC0AE18-C0D9-411E-87BB-B5453349E1C4}"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a:t>
                </a:r>
                <a:fld id="{628B49D8-CC29-4AAC-8C3E-190AAF007D08}"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a:t>
                </a:r>
                <a:fld id="{628B49D8-CC29-4AAC-8C3E-190AAF007D08}"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a:t>
                </a:r>
                <a:fld id="{EEC0AE18-C0D9-411E-87BB-B5453349E1C4}"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a:t>
                </a:r>
                <a:fld id="{3D23DC30-9886-44CD-A9FD-07D48107C876}"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r>
                  <a:rPr lang="en-US" sz="1000"/>
                  <a:t>$</a:t>
                </a:r>
                <a:fld id="{628B49D8-CC29-4AAC-8C3E-190AAF007D08}" type="VALUE">
                  <a:rPr lang="en-US" sz="1000"/>
                  <a:pPr>
                    <a:defRPr sz="1000"/>
                  </a:pPr>
                  <a:t>[VALUE]</a:t>
                </a:fld>
                <a:endParaRPr lang="en-US" sz="100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r>
                  <a:rPr lang="en-US" sz="1000"/>
                  <a:t>$</a:t>
                </a:r>
                <a:fld id="{EEC0AE18-C0D9-411E-87BB-B5453349E1C4}" type="VALUE">
                  <a:rPr lang="en-US" sz="1000"/>
                  <a:pPr>
                    <a:defRPr sz="1000"/>
                  </a:pPr>
                  <a:t>[VALUE]</a:t>
                </a:fld>
                <a:endParaRPr lang="en-US" sz="100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r>
                  <a:rPr lang="en-US" sz="1000"/>
                  <a:t>$</a:t>
                </a:r>
                <a:fld id="{3D23DC30-9886-44CD-A9FD-07D48107C876}" type="VALUE">
                  <a:rPr lang="en-US" sz="1000"/>
                  <a:pPr>
                    <a:defRPr sz="1000"/>
                  </a:pPr>
                  <a:t>[VALUE]</a:t>
                </a:fld>
                <a:endParaRPr lang="en-US" sz="100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Pivots!$M$3</c:f>
              <c:strCache>
                <c:ptCount val="1"/>
                <c:pt idx="0">
                  <c:v>Total</c:v>
                </c:pt>
              </c:strCache>
            </c:strRef>
          </c:tx>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tx>
                <c:rich>
                  <a:bodyPr/>
                  <a:lstStyle/>
                  <a:p>
                    <a:r>
                      <a:rPr lang="en-US" sz="1000"/>
                      <a:t>$</a:t>
                    </a:r>
                    <a:fld id="{628B49D8-CC29-4AAC-8C3E-190AAF007D08}" type="VALUE">
                      <a:rPr lang="en-US" sz="1000"/>
                      <a:pPr/>
                      <a:t>[VALUE]</a:t>
                    </a:fld>
                    <a:endParaRPr lang="en-US" sz="100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357-41F4-85BF-BDEDD3F102B6}"/>
                </c:ext>
              </c:extLst>
            </c:dLbl>
            <c:dLbl>
              <c:idx val="1"/>
              <c:tx>
                <c:rich>
                  <a:bodyPr/>
                  <a:lstStyle/>
                  <a:p>
                    <a:r>
                      <a:rPr lang="en-US" sz="1000"/>
                      <a:t>$</a:t>
                    </a:r>
                    <a:fld id="{EEC0AE18-C0D9-411E-87BB-B5453349E1C4}" type="VALUE">
                      <a:rPr lang="en-US" sz="1000"/>
                      <a:pPr/>
                      <a:t>[VALUE]</a:t>
                    </a:fld>
                    <a:endParaRPr lang="en-US" sz="100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357-41F4-85BF-BDEDD3F102B6}"/>
                </c:ext>
              </c:extLst>
            </c:dLbl>
            <c:dLbl>
              <c:idx val="2"/>
              <c:tx>
                <c:rich>
                  <a:bodyPr/>
                  <a:lstStyle/>
                  <a:p>
                    <a:r>
                      <a:rPr lang="en-US" sz="1000"/>
                      <a:t>$</a:t>
                    </a:r>
                    <a:fld id="{3D23DC30-9886-44CD-A9FD-07D48107C876}" type="VALUE">
                      <a:rPr lang="en-US" sz="1000"/>
                      <a:pPr/>
                      <a:t>[VALUE]</a:t>
                    </a:fld>
                    <a:endParaRPr lang="en-US" sz="100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357-41F4-85BF-BDEDD3F102B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Pivots!$L$4:$L$7</c:f>
              <c:strCache>
                <c:ptCount val="3"/>
                <c:pt idx="0">
                  <c:v>High</c:v>
                </c:pt>
                <c:pt idx="1">
                  <c:v>Medium</c:v>
                </c:pt>
                <c:pt idx="2">
                  <c:v>Low</c:v>
                </c:pt>
              </c:strCache>
            </c:strRef>
          </c:cat>
          <c:val>
            <c:numRef>
              <c:f>Pivots!$M$4:$M$7</c:f>
              <c:numCache>
                <c:formatCode>0.00</c:formatCode>
                <c:ptCount val="3"/>
                <c:pt idx="0">
                  <c:v>87</c:v>
                </c:pt>
                <c:pt idx="1">
                  <c:v>55</c:v>
                </c:pt>
                <c:pt idx="2">
                  <c:v>26.304347826086957</c:v>
                </c:pt>
              </c:numCache>
            </c:numRef>
          </c:val>
          <c:extLst>
            <c:ext xmlns:c16="http://schemas.microsoft.com/office/drawing/2014/chart" uri="{C3380CC4-5D6E-409C-BE32-E72D297353CC}">
              <c16:uniqueId val="{00000003-A357-41F4-85BF-BDEDD3F102B6}"/>
            </c:ext>
          </c:extLst>
        </c:ser>
        <c:dLbls>
          <c:showLegendKey val="0"/>
          <c:showVal val="0"/>
          <c:showCatName val="0"/>
          <c:showSerName val="0"/>
          <c:showPercent val="0"/>
          <c:showBubbleSize val="0"/>
        </c:dLbls>
        <c:gapWidth val="115"/>
        <c:overlap val="-20"/>
        <c:axId val="1030303168"/>
        <c:axId val="1030304608"/>
      </c:barChart>
      <c:catAx>
        <c:axId val="1030303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30304608"/>
        <c:crosses val="autoZero"/>
        <c:auto val="1"/>
        <c:lblAlgn val="ctr"/>
        <c:lblOffset val="100"/>
        <c:noMultiLvlLbl val="0"/>
      </c:catAx>
      <c:valAx>
        <c:axId val="10303046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3030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[MallCustomersDashboard.xlsx]Pivots!PivotTable1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a:t>
            </a:r>
            <a:r>
              <a:rPr lang="en-US" sz="1600" b="1" baseline="0"/>
              <a:t> Distribution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99"/>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FF99"/>
          </a:solidFill>
          <a:ln w="19050">
            <a:solidFill>
              <a:schemeClr val="bg2">
                <a:lumMod val="90000"/>
              </a:schemeClr>
            </a:solidFill>
          </a:ln>
          <a:effectLst/>
        </c:spPr>
        <c:dLbl>
          <c:idx val="0"/>
          <c:layout>
            <c:manualLayout>
              <c:x val="-0.14445997375328085"/>
              <c:y val="-1.593795567220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tx2">
              <a:lumMod val="50000"/>
            </a:schemeClr>
          </a:solidFill>
          <a:ln w="19050">
            <a:solidFill>
              <a:schemeClr val="bg2">
                <a:lumMod val="90000"/>
              </a:schemeClr>
            </a:solidFill>
          </a:ln>
          <a:effectLst/>
        </c:spPr>
        <c:dLbl>
          <c:idx val="0"/>
          <c:layout>
            <c:manualLayout>
              <c:x val="0.13401093613298337"/>
              <c:y val="1.98771507728200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2D4492-7FEA-4163-AD3E-2CC1678FA90D}" type="CATEGORYNAME">
                  <a:rPr lang="en-US">
                    <a:solidFill>
                      <a:schemeClr val="bg1"/>
                    </a:solidFill>
                  </a:rPr>
                  <a:pPr>
                    <a:defRPr/>
                  </a:pPr>
                  <a:t>[CATEGORY NAME]</a:t>
                </a:fld>
                <a:r>
                  <a:rPr lang="en-US" baseline="0">
                    <a:solidFill>
                      <a:schemeClr val="bg1"/>
                    </a:solidFill>
                  </a:rPr>
                  <a:t>
</a:t>
                </a:r>
                <a:fld id="{F23C662A-6E5C-4EBB-9945-EC3FADFE7F12}"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Pivots!$B$3</c:f>
              <c:strCache>
                <c:ptCount val="1"/>
                <c:pt idx="0">
                  <c:v>Total</c:v>
                </c:pt>
              </c:strCache>
            </c:strRef>
          </c:tx>
          <c:spPr>
            <a:solidFill>
              <a:srgbClr val="FFFF99"/>
            </a:solidFill>
            <a:ln>
              <a:solidFill>
                <a:schemeClr val="bg2">
                  <a:lumMod val="90000"/>
                </a:schemeClr>
              </a:solidFill>
            </a:ln>
          </c:spPr>
          <c:dPt>
            <c:idx val="0"/>
            <c:bubble3D val="0"/>
            <c:spPr>
              <a:solidFill>
                <a:srgbClr val="FFFF99"/>
              </a:solidFill>
              <a:ln w="19050">
                <a:solidFill>
                  <a:schemeClr val="bg2">
                    <a:lumMod val="90000"/>
                  </a:schemeClr>
                </a:solidFill>
              </a:ln>
              <a:effectLst/>
            </c:spPr>
            <c:extLst>
              <c:ext xmlns:c16="http://schemas.microsoft.com/office/drawing/2014/chart" uri="{C3380CC4-5D6E-409C-BE32-E72D297353CC}">
                <c16:uniqueId val="{00000002-1CC2-46A4-B2BF-54301338E9D4}"/>
              </c:ext>
            </c:extLst>
          </c:dPt>
          <c:dPt>
            <c:idx val="1"/>
            <c:bubble3D val="0"/>
            <c:spPr>
              <a:solidFill>
                <a:schemeClr val="tx2">
                  <a:lumMod val="50000"/>
                </a:schemeClr>
              </a:solidFill>
              <a:ln w="19050">
                <a:solidFill>
                  <a:schemeClr val="bg2">
                    <a:lumMod val="90000"/>
                  </a:schemeClr>
                </a:solidFill>
              </a:ln>
              <a:effectLst/>
            </c:spPr>
            <c:extLst>
              <c:ext xmlns:c16="http://schemas.microsoft.com/office/drawing/2014/chart" uri="{C3380CC4-5D6E-409C-BE32-E72D297353CC}">
                <c16:uniqueId val="{00000003-1CC2-46A4-B2BF-54301338E9D4}"/>
              </c:ext>
            </c:extLst>
          </c:dPt>
          <c:dLbls>
            <c:dLbl>
              <c:idx val="0"/>
              <c:layout>
                <c:manualLayout>
                  <c:x val="-0.14445997375328085"/>
                  <c:y val="-1.5937955672207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CC2-46A4-B2BF-54301338E9D4}"/>
                </c:ext>
              </c:extLst>
            </c:dLbl>
            <c:dLbl>
              <c:idx val="1"/>
              <c:layout>
                <c:manualLayout>
                  <c:x val="0.13401093613298337"/>
                  <c:y val="1.9877150772820065E-2"/>
                </c:manualLayout>
              </c:layout>
              <c:tx>
                <c:rich>
                  <a:bodyPr/>
                  <a:lstStyle/>
                  <a:p>
                    <a:fld id="{C62D4492-7FEA-4163-AD3E-2CC1678FA90D}" type="CATEGORYNAME">
                      <a:rPr lang="en-US">
                        <a:solidFill>
                          <a:schemeClr val="bg1"/>
                        </a:solidFill>
                      </a:rPr>
                      <a:pPr/>
                      <a:t>[CATEGORY NAME]</a:t>
                    </a:fld>
                    <a:r>
                      <a:rPr lang="en-US" baseline="0">
                        <a:solidFill>
                          <a:schemeClr val="bg1"/>
                        </a:solidFill>
                      </a:rPr>
                      <a:t>
</a:t>
                    </a:r>
                    <a:fld id="{F23C662A-6E5C-4EBB-9945-EC3FADFE7F12}" type="PERCENTAGE">
                      <a:rPr lang="en-US" baseline="0">
                        <a:solidFill>
                          <a:schemeClr val="bg1"/>
                        </a:solidFill>
                      </a:rPr>
                      <a:pPr/>
                      <a:t>[PERCENTAGE]</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CC2-46A4-B2BF-54301338E9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Pivots!$A$4:$A$6</c:f>
              <c:strCache>
                <c:ptCount val="2"/>
                <c:pt idx="0">
                  <c:v>Female</c:v>
                </c:pt>
                <c:pt idx="1">
                  <c:v>Male</c:v>
                </c:pt>
              </c:strCache>
            </c:strRef>
          </c:cat>
          <c:val>
            <c:numRef>
              <c:f>Pivots!$B$4:$B$6</c:f>
              <c:numCache>
                <c:formatCode>General</c:formatCode>
                <c:ptCount val="2"/>
                <c:pt idx="0">
                  <c:v>112</c:v>
                </c:pt>
                <c:pt idx="1">
                  <c:v>88</c:v>
                </c:pt>
              </c:numCache>
            </c:numRef>
          </c:val>
          <c:extLst>
            <c:ext xmlns:c16="http://schemas.microsoft.com/office/drawing/2014/chart" uri="{C3380CC4-5D6E-409C-BE32-E72D297353CC}">
              <c16:uniqueId val="{00000000-1CC2-46A4-B2BF-54301338E9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[MallCustomersDashboard.xlsx]Pivots!PivotTable2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Spending Score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Pivots!$H$3</c:f>
              <c:strCache>
                <c:ptCount val="1"/>
                <c:pt idx="0">
                  <c:v>Total</c:v>
                </c:pt>
              </c:strCache>
            </c:strRef>
          </c:tx>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Pivots!$G$4:$G$9</c:f>
              <c:strCache>
                <c:ptCount val="5"/>
                <c:pt idx="0">
                  <c:v>&lt;25</c:v>
                </c:pt>
                <c:pt idx="1">
                  <c:v>25-34</c:v>
                </c:pt>
                <c:pt idx="2">
                  <c:v>35-44</c:v>
                </c:pt>
                <c:pt idx="3">
                  <c:v>45-54</c:v>
                </c:pt>
                <c:pt idx="4">
                  <c:v>55+</c:v>
                </c:pt>
              </c:strCache>
            </c:strRef>
          </c:cat>
          <c:val>
            <c:numRef>
              <c:f>Pivots!$H$4:$H$9</c:f>
              <c:numCache>
                <c:formatCode>0.00</c:formatCode>
                <c:ptCount val="5"/>
                <c:pt idx="0">
                  <c:v>56.25714285714286</c:v>
                </c:pt>
                <c:pt idx="1">
                  <c:v>63.166666666666664</c:v>
                </c:pt>
                <c:pt idx="2">
                  <c:v>49.428571428571431</c:v>
                </c:pt>
                <c:pt idx="3">
                  <c:v>36.230769230769234</c:v>
                </c:pt>
                <c:pt idx="4">
                  <c:v>39.033333333333331</c:v>
                </c:pt>
              </c:numCache>
            </c:numRef>
          </c:val>
          <c:extLst>
            <c:ext xmlns:c16="http://schemas.microsoft.com/office/drawing/2014/chart" uri="{C3380CC4-5D6E-409C-BE32-E72D297353CC}">
              <c16:uniqueId val="{00000000-16A5-4329-A902-08A91753E414}"/>
            </c:ext>
          </c:extLst>
        </c:ser>
        <c:dLbls>
          <c:dLblPos val="outEnd"/>
          <c:showLegendKey val="0"/>
          <c:showVal val="1"/>
          <c:showCatName val="0"/>
          <c:showSerName val="0"/>
          <c:showPercent val="0"/>
          <c:showBubbleSize val="0"/>
        </c:dLbls>
        <c:gapWidth val="100"/>
        <c:overlap val="-24"/>
        <c:axId val="970439504"/>
        <c:axId val="775465248"/>
      </c:barChart>
      <c:catAx>
        <c:axId val="970439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465248"/>
        <c:crosses val="autoZero"/>
        <c:auto val="1"/>
        <c:lblAlgn val="ctr"/>
        <c:lblOffset val="100"/>
        <c:noMultiLvlLbl val="0"/>
      </c:catAx>
      <c:valAx>
        <c:axId val="775465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3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[MallCustomersDashboard.xlsx]Pivots!PivotTable3</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a:t>
                </a:r>
                <a:fld id="{3D23DC30-9886-44CD-A9FD-07D48107C876}"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a:t>
                </a:r>
                <a:fld id="{EEC0AE18-C0D9-411E-87BB-B5453349E1C4}"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a:t>
                </a:r>
                <a:fld id="{628B49D8-CC29-4AAC-8C3E-190AAF007D08}"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Pivots!$M$3</c:f>
              <c:strCache>
                <c:ptCount val="1"/>
                <c:pt idx="0">
                  <c:v>Total</c:v>
                </c:pt>
              </c:strCache>
            </c:strRef>
          </c:tx>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tx>
                <c:rich>
                  <a:bodyPr/>
                  <a:lstStyle/>
                  <a:p>
                    <a:r>
                      <a:rPr lang="en-US"/>
                      <a:t>$</a:t>
                    </a:r>
                    <a:fld id="{628B49D8-CC29-4AAC-8C3E-190AAF007D08}"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382-4ABF-B97D-0B40C3C413DC}"/>
                </c:ext>
              </c:extLst>
            </c:dLbl>
            <c:dLbl>
              <c:idx val="1"/>
              <c:tx>
                <c:rich>
                  <a:bodyPr/>
                  <a:lstStyle/>
                  <a:p>
                    <a:r>
                      <a:rPr lang="en-US"/>
                      <a:t>$</a:t>
                    </a:r>
                    <a:fld id="{EEC0AE18-C0D9-411E-87BB-B5453349E1C4}"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382-4ABF-B97D-0B40C3C413DC}"/>
                </c:ext>
              </c:extLst>
            </c:dLbl>
            <c:dLbl>
              <c:idx val="2"/>
              <c:tx>
                <c:rich>
                  <a:bodyPr/>
                  <a:lstStyle/>
                  <a:p>
                    <a:r>
                      <a:rPr lang="en-US"/>
                      <a:t>$</a:t>
                    </a:r>
                    <a:fld id="{3D23DC30-9886-44CD-A9FD-07D48107C876}"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382-4ABF-B97D-0B40C3C413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Pivots!$L$4:$L$7</c:f>
              <c:strCache>
                <c:ptCount val="3"/>
                <c:pt idx="0">
                  <c:v>High</c:v>
                </c:pt>
                <c:pt idx="1">
                  <c:v>Medium</c:v>
                </c:pt>
                <c:pt idx="2">
                  <c:v>Low</c:v>
                </c:pt>
              </c:strCache>
            </c:strRef>
          </c:cat>
          <c:val>
            <c:numRef>
              <c:f>Pivots!$M$4:$M$7</c:f>
              <c:numCache>
                <c:formatCode>0.00</c:formatCode>
                <c:ptCount val="3"/>
                <c:pt idx="0">
                  <c:v>87</c:v>
                </c:pt>
                <c:pt idx="1">
                  <c:v>55</c:v>
                </c:pt>
                <c:pt idx="2">
                  <c:v>26.304347826086957</c:v>
                </c:pt>
              </c:numCache>
            </c:numRef>
          </c:val>
          <c:extLst>
            <c:ext xmlns:c16="http://schemas.microsoft.com/office/drawing/2014/chart" uri="{C3380CC4-5D6E-409C-BE32-E72D297353CC}">
              <c16:uniqueId val="{00000000-5382-4ABF-B97D-0B40C3C413DC}"/>
            </c:ext>
          </c:extLst>
        </c:ser>
        <c:dLbls>
          <c:showLegendKey val="0"/>
          <c:showVal val="0"/>
          <c:showCatName val="0"/>
          <c:showSerName val="0"/>
          <c:showPercent val="0"/>
          <c:showBubbleSize val="0"/>
        </c:dLbls>
        <c:gapWidth val="115"/>
        <c:overlap val="-20"/>
        <c:axId val="1030303168"/>
        <c:axId val="1030304608"/>
      </c:barChart>
      <c:catAx>
        <c:axId val="1030303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304608"/>
        <c:crosses val="autoZero"/>
        <c:auto val="1"/>
        <c:lblAlgn val="ctr"/>
        <c:lblOffset val="100"/>
        <c:noMultiLvlLbl val="0"/>
      </c:catAx>
      <c:valAx>
        <c:axId val="10303046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30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496454</xdr:colOff>
      <xdr:row>10</xdr:row>
      <xdr:rowOff>4</xdr:rowOff>
    </xdr:from>
    <xdr:to>
      <xdr:col>9</xdr:col>
      <xdr:colOff>253999</xdr:colOff>
      <xdr:row>24</xdr:row>
      <xdr:rowOff>23092</xdr:rowOff>
    </xdr:to>
    <xdr:graphicFrame macro="">
      <xdr:nvGraphicFramePr>
        <xdr:cNvPr id="2" name="Chart 1">
          <a:extLst>
            <a:ext uri="{FF2B5EF4-FFF2-40B4-BE49-F238E27FC236}">
              <a16:creationId xmlns:a16="http://schemas.microsoft.com/office/drawing/2014/main" id="{9A3E4923-6BBD-407A-8163-700ED011E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542635</xdr:colOff>
      <xdr:row>10</xdr:row>
      <xdr:rowOff>1</xdr:rowOff>
    </xdr:from>
    <xdr:to>
      <xdr:col>16</xdr:col>
      <xdr:colOff>300181</xdr:colOff>
      <xdr:row>24</xdr:row>
      <xdr:rowOff>34637</xdr:rowOff>
    </xdr:to>
    <xdr:graphicFrame macro="">
      <xdr:nvGraphicFramePr>
        <xdr:cNvPr id="3" name="Chart 2">
          <a:extLst>
            <a:ext uri="{FF2B5EF4-FFF2-40B4-BE49-F238E27FC236}">
              <a16:creationId xmlns:a16="http://schemas.microsoft.com/office/drawing/2014/main" id="{8B8BE59B-6094-4455-B039-498F68F3C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473363</xdr:colOff>
      <xdr:row>25</xdr:row>
      <xdr:rowOff>11542</xdr:rowOff>
    </xdr:from>
    <xdr:to>
      <xdr:col>9</xdr:col>
      <xdr:colOff>254000</xdr:colOff>
      <xdr:row>38</xdr:row>
      <xdr:rowOff>173177</xdr:rowOff>
    </xdr:to>
    <xdr:graphicFrame macro="">
      <xdr:nvGraphicFramePr>
        <xdr:cNvPr id="4" name="Chart 3">
          <a:extLst>
            <a:ext uri="{FF2B5EF4-FFF2-40B4-BE49-F238E27FC236}">
              <a16:creationId xmlns:a16="http://schemas.microsoft.com/office/drawing/2014/main" id="{1C24594E-8FEA-4F97-8FCB-BE7617582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87747</xdr:colOff>
      <xdr:row>5</xdr:row>
      <xdr:rowOff>162554</xdr:rowOff>
    </xdr:from>
    <xdr:to>
      <xdr:col>2</xdr:col>
      <xdr:colOff>311728</xdr:colOff>
      <xdr:row>10</xdr:row>
      <xdr:rowOff>184722</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47E6DB29-2851-37F0-91D7-7F5E368F09B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7747" y="1294009"/>
              <a:ext cx="1447799" cy="945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80819</xdr:colOff>
      <xdr:row>12</xdr:row>
      <xdr:rowOff>120068</xdr:rowOff>
    </xdr:from>
    <xdr:to>
      <xdr:col>2</xdr:col>
      <xdr:colOff>346365</xdr:colOff>
      <xdr:row>23</xdr:row>
      <xdr:rowOff>184721</xdr:rowOff>
    </xdr:to>
    <mc:AlternateContent xmlns:mc="http://schemas.openxmlformats.org/markup-compatibility/2006">
      <mc:Choice xmlns:a14="http://schemas.microsoft.com/office/drawing/2010/main" Requires="a14">
        <xdr:graphicFrame macro="">
          <xdr:nvGraphicFramePr>
            <xdr:cNvPr id="10" name="Age Group">
              <a:extLst>
                <a:ext uri="{FF2B5EF4-FFF2-40B4-BE49-F238E27FC236}">
                  <a16:creationId xmlns:a16="http://schemas.microsoft.com/office/drawing/2014/main" id="{420B42F4-B3AF-3F74-BC4A-2A0839A327D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80819" y="2544613"/>
              <a:ext cx="1489364" cy="2096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89593</xdr:colOff>
      <xdr:row>25</xdr:row>
      <xdr:rowOff>14311</xdr:rowOff>
    </xdr:from>
    <xdr:to>
      <xdr:col>2</xdr:col>
      <xdr:colOff>357908</xdr:colOff>
      <xdr:row>33</xdr:row>
      <xdr:rowOff>161631</xdr:rowOff>
    </xdr:to>
    <mc:AlternateContent xmlns:mc="http://schemas.openxmlformats.org/markup-compatibility/2006">
      <mc:Choice xmlns:a14="http://schemas.microsoft.com/office/drawing/2010/main" Requires="a14">
        <xdr:graphicFrame macro="">
          <xdr:nvGraphicFramePr>
            <xdr:cNvPr id="12" name="Income Level">
              <a:extLst>
                <a:ext uri="{FF2B5EF4-FFF2-40B4-BE49-F238E27FC236}">
                  <a16:creationId xmlns:a16="http://schemas.microsoft.com/office/drawing/2014/main" id="{D419C37F-19C2-5D7C-2E22-FDA29333A77E}"/>
                </a:ext>
              </a:extLst>
            </xdr:cNvPr>
            <xdr:cNvGraphicFramePr/>
          </xdr:nvGraphicFramePr>
          <xdr:xfrm>
            <a:off x="0" y="0"/>
            <a:ext cx="0" cy="0"/>
          </xdr:xfrm>
          <a:graphic>
            <a:graphicData uri="http://schemas.microsoft.com/office/drawing/2010/slicer">
              <sle:slicer xmlns:sle="http://schemas.microsoft.com/office/drawing/2010/slicer" name="Income Level"/>
            </a:graphicData>
          </a:graphic>
        </xdr:graphicFrame>
      </mc:Choice>
      <mc:Fallback>
        <xdr:sp macro="" textlink="">
          <xdr:nvSpPr>
            <xdr:cNvPr id="0" name=""/>
            <xdr:cNvSpPr>
              <a:spLocks noTextEdit="1"/>
            </xdr:cNvSpPr>
          </xdr:nvSpPr>
          <xdr:spPr>
            <a:xfrm>
              <a:off x="89593" y="4840311"/>
              <a:ext cx="1492133" cy="1625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531092</xdr:colOff>
      <xdr:row>25</xdr:row>
      <xdr:rowOff>46182</xdr:rowOff>
    </xdr:from>
    <xdr:to>
      <xdr:col>16</xdr:col>
      <xdr:colOff>300183</xdr:colOff>
      <xdr:row>38</xdr:row>
      <xdr:rowOff>173181</xdr:rowOff>
    </xdr:to>
    <xdr:sp macro="" textlink="">
      <xdr:nvSpPr>
        <xdr:cNvPr id="13" name="Rectangle 12">
          <a:extLst>
            <a:ext uri="{FF2B5EF4-FFF2-40B4-BE49-F238E27FC236}">
              <a16:creationId xmlns:a16="http://schemas.microsoft.com/office/drawing/2014/main" id="{5BE37E4E-7A77-6209-25B7-384BB50FFAC5}"/>
            </a:ext>
          </a:extLst>
        </xdr:cNvPr>
        <xdr:cNvSpPr/>
      </xdr:nvSpPr>
      <xdr:spPr>
        <a:xfrm>
          <a:off x="6038274" y="4872182"/>
          <a:ext cx="4052454" cy="2528454"/>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508000</xdr:colOff>
      <xdr:row>25</xdr:row>
      <xdr:rowOff>23091</xdr:rowOff>
    </xdr:from>
    <xdr:to>
      <xdr:col>16</xdr:col>
      <xdr:colOff>288637</xdr:colOff>
      <xdr:row>39</xdr:row>
      <xdr:rowOff>0</xdr:rowOff>
    </xdr:to>
    <xdr:sp macro="" textlink="">
      <xdr:nvSpPr>
        <xdr:cNvPr id="4097" name="Text Box 1">
          <a:extLst>
            <a:ext uri="{FF2B5EF4-FFF2-40B4-BE49-F238E27FC236}">
              <a16:creationId xmlns:a16="http://schemas.microsoft.com/office/drawing/2014/main" id="{1B8A3F67-CD50-4A41-ED22-02F6C28349D4}"/>
            </a:ext>
          </a:extLst>
        </xdr:cNvPr>
        <xdr:cNvSpPr txBox="1">
          <a:spLocks noChangeArrowheads="1"/>
        </xdr:cNvSpPr>
      </xdr:nvSpPr>
      <xdr:spPr bwMode="auto">
        <a:xfrm>
          <a:off x="6015182" y="4849091"/>
          <a:ext cx="4064000" cy="2563091"/>
        </a:xfrm>
        <a:prstGeom prst="rect">
          <a:avLst/>
        </a:prstGeom>
        <a:solidFill>
          <a:sysClr val="window" lastClr="FFFFFF"/>
        </a:solidFill>
        <a:ln w="9525">
          <a:noFill/>
          <a:miter lim="800000"/>
          <a:headEnd/>
          <a:tailEnd/>
        </a:ln>
      </xdr:spPr>
      <xdr:txBody>
        <a:bodyPr vertOverflow="clip" wrap="square" lIns="27432" tIns="22860" rIns="0" bIns="0" anchor="t" upright="1"/>
        <a:lstStyle/>
        <a:p>
          <a:pPr algn="l" rtl="0">
            <a:defRPr sz="1000"/>
          </a:pPr>
          <a:r>
            <a:rPr lang="en-US" sz="1800" b="1" i="0" u="none" strike="noStrike" baseline="0">
              <a:solidFill>
                <a:schemeClr val="tx1">
                  <a:lumMod val="75000"/>
                  <a:lumOff val="25000"/>
                </a:schemeClr>
              </a:solidFill>
              <a:latin typeface="Calibri"/>
              <a:ea typeface="Calibri"/>
              <a:cs typeface="Calibri"/>
            </a:rPr>
            <a:t>📊 KEY INSIGHTS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300" b="0" i="0" u="none" strike="noStrike" baseline="0">
              <a:solidFill>
                <a:srgbClr val="000000"/>
              </a:solidFill>
              <a:latin typeface="Calibri"/>
              <a:ea typeface="Calibri"/>
              <a:cs typeface="Calibri"/>
            </a:rPr>
            <a:t>👩 Female customers make up 56% of total customers, slightly higher than male customers.</a:t>
          </a:r>
        </a:p>
        <a:p>
          <a:pPr algn="l" rtl="0">
            <a:defRPr sz="1000"/>
          </a:pPr>
          <a:r>
            <a:rPr lang="en-US" sz="1300" b="0" i="0" u="none" strike="noStrike" baseline="0">
              <a:solidFill>
                <a:srgbClr val="000000"/>
              </a:solidFill>
              <a:latin typeface="Calibri"/>
              <a:ea typeface="Calibri"/>
              <a:cs typeface="Calibri"/>
            </a:rPr>
            <a:t>🧑‍💼 The 25–34 age group has the highest average spending score (63.17), showing they are the most active buyers.</a:t>
          </a:r>
        </a:p>
        <a:p>
          <a:pPr algn="l" rtl="0">
            <a:defRPr sz="1000"/>
          </a:pPr>
          <a:r>
            <a:rPr lang="en-US" sz="1300" b="0" i="0" u="none" strike="noStrike" baseline="0">
              <a:solidFill>
                <a:srgbClr val="000000"/>
              </a:solidFill>
              <a:latin typeface="Calibri"/>
              <a:ea typeface="Calibri"/>
              <a:cs typeface="Calibri"/>
            </a:rPr>
            <a:t>💵 Customers with high income spend over 3× more than those with low income, indicating strong purchasing power.</a:t>
          </a:r>
        </a:p>
        <a:p>
          <a:pPr algn="l" rtl="0">
            <a:defRPr sz="1000"/>
          </a:pPr>
          <a:r>
            <a:rPr lang="en-US" sz="1300" b="0" i="0" u="none" strike="noStrike" baseline="0">
              <a:solidFill>
                <a:srgbClr val="000000"/>
              </a:solidFill>
              <a:latin typeface="Calibri"/>
              <a:ea typeface="Calibri"/>
              <a:cs typeface="Calibri"/>
            </a:rPr>
            <a:t>🎯 Marketing efforts can be focused on female customers aged 25–34 with medium to high income for maximum impact.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130531</xdr:rowOff>
    </xdr:from>
    <xdr:to>
      <xdr:col>5</xdr:col>
      <xdr:colOff>586740</xdr:colOff>
      <xdr:row>25</xdr:row>
      <xdr:rowOff>130532</xdr:rowOff>
    </xdr:to>
    <xdr:graphicFrame macro="">
      <xdr:nvGraphicFramePr>
        <xdr:cNvPr id="2" name="Chart 1">
          <a:extLst>
            <a:ext uri="{FF2B5EF4-FFF2-40B4-BE49-F238E27FC236}">
              <a16:creationId xmlns:a16="http://schemas.microsoft.com/office/drawing/2014/main" id="{3026369C-F701-A53C-587D-24FADF870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109360</xdr:colOff>
      <xdr:row>10</xdr:row>
      <xdr:rowOff>156379</xdr:rowOff>
    </xdr:from>
    <xdr:to>
      <xdr:col>10</xdr:col>
      <xdr:colOff>505600</xdr:colOff>
      <xdr:row>25</xdr:row>
      <xdr:rowOff>156380</xdr:rowOff>
    </xdr:to>
    <xdr:graphicFrame macro="">
      <xdr:nvGraphicFramePr>
        <xdr:cNvPr id="3" name="Chart 2">
          <a:extLst>
            <a:ext uri="{FF2B5EF4-FFF2-40B4-BE49-F238E27FC236}">
              <a16:creationId xmlns:a16="http://schemas.microsoft.com/office/drawing/2014/main" id="{9F1CEE06-854B-4577-046A-9C1D1AE5A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11432</xdr:colOff>
      <xdr:row>10</xdr:row>
      <xdr:rowOff>173275</xdr:rowOff>
    </xdr:from>
    <xdr:to>
      <xdr:col>15</xdr:col>
      <xdr:colOff>562677</xdr:colOff>
      <xdr:row>25</xdr:row>
      <xdr:rowOff>98120</xdr:rowOff>
    </xdr:to>
    <xdr:graphicFrame macro="">
      <xdr:nvGraphicFramePr>
        <xdr:cNvPr id="4" name="Chart 3">
          <a:extLst>
            <a:ext uri="{FF2B5EF4-FFF2-40B4-BE49-F238E27FC236}">
              <a16:creationId xmlns:a16="http://schemas.microsoft.com/office/drawing/2014/main" id="{0F54B70D-CF70-2F27-F6A3-4FC0FDAB0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dian" refreshedDate="45968.315799537035" createdVersion="8" refreshedVersion="8" minRefreshableVersion="3" recordCount="200" xr:uid="{ECD309A0-8F23-4A51-9F30-049555F06209}">
  <cacheSource type="worksheet">
    <worksheetSource name="tblCustomers"/>
  </cacheSource>
  <cacheFields count="7">
    <cacheField name="CustomerID" numFmtId="0">
      <sharedItems containsSemiMixedTypes="0" containsString="0" containsNumber="1" containsInteger="1" minValue="1" maxValue="200" count="2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cacheField>
    <cacheField name="Gender" numFmtId="0">
      <sharedItems count="2">
        <s v="Male"/>
        <s v="Female"/>
      </sharedItems>
    </cacheField>
    <cacheField name="Age" numFmtId="0">
      <sharedItems containsSemiMixedTypes="0" containsString="0" containsNumber="1" containsInteger="1" minValue="18" maxValue="70" count="51">
        <n v="19"/>
        <n v="21"/>
        <n v="20"/>
        <n v="23"/>
        <n v="31"/>
        <n v="22"/>
        <n v="35"/>
        <n v="64"/>
        <n v="30"/>
        <n v="67"/>
        <n v="58"/>
        <n v="24"/>
        <n v="37"/>
        <n v="52"/>
        <n v="25"/>
        <n v="46"/>
        <n v="54"/>
        <n v="29"/>
        <n v="45"/>
        <n v="40"/>
        <n v="60"/>
        <n v="53"/>
        <n v="18"/>
        <n v="49"/>
        <n v="42"/>
        <n v="36"/>
        <n v="65"/>
        <n v="48"/>
        <n v="50"/>
        <n v="27"/>
        <n v="33"/>
        <n v="59"/>
        <n v="47"/>
        <n v="51"/>
        <n v="69"/>
        <n v="70"/>
        <n v="63"/>
        <n v="43"/>
        <n v="68"/>
        <n v="32"/>
        <n v="26"/>
        <n v="57"/>
        <n v="38"/>
        <n v="55"/>
        <n v="34"/>
        <n v="66"/>
        <n v="39"/>
        <n v="44"/>
        <n v="28"/>
        <n v="56"/>
        <n v="41"/>
      </sharedItems>
    </cacheField>
    <cacheField name="Annual Income (k$)" numFmtId="0">
      <sharedItems containsSemiMixedTypes="0" containsString="0" containsNumber="1" containsInteger="1" minValue="15" maxValue="137" count="64">
        <n v="15"/>
        <n v="16"/>
        <n v="17"/>
        <n v="18"/>
        <n v="19"/>
        <n v="20"/>
        <n v="21"/>
        <n v="23"/>
        <n v="24"/>
        <n v="25"/>
        <n v="28"/>
        <n v="29"/>
        <n v="30"/>
        <n v="33"/>
        <n v="34"/>
        <n v="37"/>
        <n v="38"/>
        <n v="39"/>
        <n v="40"/>
        <n v="42"/>
        <n v="43"/>
        <n v="44"/>
        <n v="46"/>
        <n v="47"/>
        <n v="48"/>
        <n v="49"/>
        <n v="50"/>
        <n v="54"/>
        <n v="57"/>
        <n v="58"/>
        <n v="59"/>
        <n v="60"/>
        <n v="61"/>
        <n v="62"/>
        <n v="63"/>
        <n v="64"/>
        <n v="65"/>
        <n v="67"/>
        <n v="69"/>
        <n v="70"/>
        <n v="71"/>
        <n v="72"/>
        <n v="73"/>
        <n v="74"/>
        <n v="75"/>
        <n v="76"/>
        <n v="77"/>
        <n v="78"/>
        <n v="79"/>
        <n v="81"/>
        <n v="85"/>
        <n v="86"/>
        <n v="87"/>
        <n v="88"/>
        <n v="93"/>
        <n v="97"/>
        <n v="98"/>
        <n v="99"/>
        <n v="101"/>
        <n v="103"/>
        <n v="113"/>
        <n v="120"/>
        <n v="126"/>
        <n v="137"/>
      </sharedItems>
    </cacheField>
    <cacheField name="Spending Score (1-100)" numFmtId="0">
      <sharedItems containsSemiMixedTypes="0" containsString="0" containsNumber="1" containsInteger="1" minValue="1" maxValue="99" count="84">
        <n v="39"/>
        <n v="81"/>
        <n v="6"/>
        <n v="77"/>
        <n v="40"/>
        <n v="76"/>
        <n v="94"/>
        <n v="3"/>
        <n v="72"/>
        <n v="14"/>
        <n v="99"/>
        <n v="15"/>
        <n v="13"/>
        <n v="79"/>
        <n v="35"/>
        <n v="66"/>
        <n v="29"/>
        <n v="98"/>
        <n v="73"/>
        <n v="5"/>
        <n v="82"/>
        <n v="32"/>
        <n v="61"/>
        <n v="31"/>
        <n v="87"/>
        <n v="4"/>
        <n v="92"/>
        <n v="17"/>
        <n v="26"/>
        <n v="75"/>
        <n v="36"/>
        <n v="28"/>
        <n v="65"/>
        <n v="55"/>
        <n v="47"/>
        <n v="42"/>
        <n v="52"/>
        <n v="60"/>
        <n v="54"/>
        <n v="45"/>
        <n v="41"/>
        <n v="50"/>
        <n v="46"/>
        <n v="51"/>
        <n v="56"/>
        <n v="59"/>
        <n v="48"/>
        <n v="49"/>
        <n v="53"/>
        <n v="44"/>
        <n v="57"/>
        <n v="58"/>
        <n v="43"/>
        <n v="91"/>
        <n v="95"/>
        <n v="11"/>
        <n v="9"/>
        <n v="34"/>
        <n v="71"/>
        <n v="88"/>
        <n v="7"/>
        <n v="10"/>
        <n v="93"/>
        <n v="12"/>
        <n v="97"/>
        <n v="74"/>
        <n v="22"/>
        <n v="90"/>
        <n v="20"/>
        <n v="16"/>
        <n v="89"/>
        <n v="1"/>
        <n v="78"/>
        <n v="83"/>
        <n v="27"/>
        <n v="63"/>
        <n v="86"/>
        <n v="69"/>
        <n v="24"/>
        <n v="68"/>
        <n v="85"/>
        <n v="23"/>
        <n v="8"/>
        <n v="18"/>
      </sharedItems>
    </cacheField>
    <cacheField name="Age Group" numFmtId="0">
      <sharedItems count="5">
        <s v="&lt;25"/>
        <s v="25-34"/>
        <s v="35-44"/>
        <s v="55+"/>
        <s v="45-54"/>
      </sharedItems>
    </cacheField>
    <cacheField name="Income Level" numFmtId="0">
      <sharedItems count="3">
        <s v="Low"/>
        <s v="Medium"/>
        <s v="High"/>
      </sharedItems>
    </cacheField>
  </cacheFields>
  <extLst>
    <ext xmlns:x14="http://schemas.microsoft.com/office/spreadsheetml/2009/9/main" uri="{725AE2AE-9491-48be-B2B4-4EB974FC3084}">
      <x14:pivotCacheDefinition pivotCacheId="1732276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x v="0"/>
  </r>
  <r>
    <x v="1"/>
    <x v="0"/>
    <x v="1"/>
    <x v="0"/>
    <x v="1"/>
    <x v="0"/>
    <x v="0"/>
  </r>
  <r>
    <x v="2"/>
    <x v="1"/>
    <x v="2"/>
    <x v="1"/>
    <x v="2"/>
    <x v="0"/>
    <x v="0"/>
  </r>
  <r>
    <x v="3"/>
    <x v="1"/>
    <x v="3"/>
    <x v="1"/>
    <x v="3"/>
    <x v="0"/>
    <x v="0"/>
  </r>
  <r>
    <x v="4"/>
    <x v="1"/>
    <x v="4"/>
    <x v="2"/>
    <x v="4"/>
    <x v="1"/>
    <x v="0"/>
  </r>
  <r>
    <x v="5"/>
    <x v="1"/>
    <x v="5"/>
    <x v="2"/>
    <x v="5"/>
    <x v="0"/>
    <x v="0"/>
  </r>
  <r>
    <x v="6"/>
    <x v="1"/>
    <x v="6"/>
    <x v="3"/>
    <x v="2"/>
    <x v="2"/>
    <x v="0"/>
  </r>
  <r>
    <x v="7"/>
    <x v="1"/>
    <x v="3"/>
    <x v="3"/>
    <x v="6"/>
    <x v="0"/>
    <x v="0"/>
  </r>
  <r>
    <x v="8"/>
    <x v="0"/>
    <x v="7"/>
    <x v="4"/>
    <x v="7"/>
    <x v="3"/>
    <x v="0"/>
  </r>
  <r>
    <x v="9"/>
    <x v="1"/>
    <x v="8"/>
    <x v="4"/>
    <x v="8"/>
    <x v="1"/>
    <x v="0"/>
  </r>
  <r>
    <x v="10"/>
    <x v="0"/>
    <x v="9"/>
    <x v="4"/>
    <x v="9"/>
    <x v="3"/>
    <x v="0"/>
  </r>
  <r>
    <x v="11"/>
    <x v="1"/>
    <x v="6"/>
    <x v="4"/>
    <x v="10"/>
    <x v="2"/>
    <x v="0"/>
  </r>
  <r>
    <x v="12"/>
    <x v="1"/>
    <x v="10"/>
    <x v="5"/>
    <x v="11"/>
    <x v="3"/>
    <x v="0"/>
  </r>
  <r>
    <x v="13"/>
    <x v="1"/>
    <x v="11"/>
    <x v="5"/>
    <x v="3"/>
    <x v="0"/>
    <x v="0"/>
  </r>
  <r>
    <x v="14"/>
    <x v="0"/>
    <x v="12"/>
    <x v="5"/>
    <x v="12"/>
    <x v="2"/>
    <x v="0"/>
  </r>
  <r>
    <x v="15"/>
    <x v="0"/>
    <x v="5"/>
    <x v="5"/>
    <x v="13"/>
    <x v="0"/>
    <x v="0"/>
  </r>
  <r>
    <x v="16"/>
    <x v="1"/>
    <x v="6"/>
    <x v="6"/>
    <x v="14"/>
    <x v="2"/>
    <x v="0"/>
  </r>
  <r>
    <x v="17"/>
    <x v="0"/>
    <x v="2"/>
    <x v="6"/>
    <x v="15"/>
    <x v="0"/>
    <x v="0"/>
  </r>
  <r>
    <x v="18"/>
    <x v="0"/>
    <x v="13"/>
    <x v="7"/>
    <x v="16"/>
    <x v="4"/>
    <x v="0"/>
  </r>
  <r>
    <x v="19"/>
    <x v="1"/>
    <x v="6"/>
    <x v="7"/>
    <x v="17"/>
    <x v="2"/>
    <x v="0"/>
  </r>
  <r>
    <x v="20"/>
    <x v="0"/>
    <x v="6"/>
    <x v="8"/>
    <x v="14"/>
    <x v="2"/>
    <x v="0"/>
  </r>
  <r>
    <x v="21"/>
    <x v="0"/>
    <x v="14"/>
    <x v="8"/>
    <x v="18"/>
    <x v="1"/>
    <x v="0"/>
  </r>
  <r>
    <x v="22"/>
    <x v="1"/>
    <x v="15"/>
    <x v="9"/>
    <x v="19"/>
    <x v="4"/>
    <x v="0"/>
  </r>
  <r>
    <x v="23"/>
    <x v="0"/>
    <x v="4"/>
    <x v="9"/>
    <x v="18"/>
    <x v="1"/>
    <x v="0"/>
  </r>
  <r>
    <x v="24"/>
    <x v="1"/>
    <x v="16"/>
    <x v="10"/>
    <x v="9"/>
    <x v="4"/>
    <x v="0"/>
  </r>
  <r>
    <x v="25"/>
    <x v="0"/>
    <x v="17"/>
    <x v="10"/>
    <x v="20"/>
    <x v="1"/>
    <x v="0"/>
  </r>
  <r>
    <x v="26"/>
    <x v="1"/>
    <x v="18"/>
    <x v="10"/>
    <x v="21"/>
    <x v="4"/>
    <x v="0"/>
  </r>
  <r>
    <x v="27"/>
    <x v="0"/>
    <x v="6"/>
    <x v="10"/>
    <x v="22"/>
    <x v="2"/>
    <x v="0"/>
  </r>
  <r>
    <x v="28"/>
    <x v="1"/>
    <x v="19"/>
    <x v="11"/>
    <x v="23"/>
    <x v="2"/>
    <x v="0"/>
  </r>
  <r>
    <x v="29"/>
    <x v="1"/>
    <x v="3"/>
    <x v="11"/>
    <x v="24"/>
    <x v="0"/>
    <x v="0"/>
  </r>
  <r>
    <x v="30"/>
    <x v="0"/>
    <x v="20"/>
    <x v="12"/>
    <x v="25"/>
    <x v="3"/>
    <x v="0"/>
  </r>
  <r>
    <x v="31"/>
    <x v="1"/>
    <x v="1"/>
    <x v="12"/>
    <x v="18"/>
    <x v="0"/>
    <x v="0"/>
  </r>
  <r>
    <x v="32"/>
    <x v="0"/>
    <x v="21"/>
    <x v="13"/>
    <x v="25"/>
    <x v="4"/>
    <x v="0"/>
  </r>
  <r>
    <x v="33"/>
    <x v="0"/>
    <x v="22"/>
    <x v="13"/>
    <x v="26"/>
    <x v="0"/>
    <x v="0"/>
  </r>
  <r>
    <x v="34"/>
    <x v="1"/>
    <x v="23"/>
    <x v="13"/>
    <x v="9"/>
    <x v="4"/>
    <x v="0"/>
  </r>
  <r>
    <x v="35"/>
    <x v="1"/>
    <x v="1"/>
    <x v="13"/>
    <x v="1"/>
    <x v="0"/>
    <x v="0"/>
  </r>
  <r>
    <x v="36"/>
    <x v="1"/>
    <x v="24"/>
    <x v="14"/>
    <x v="27"/>
    <x v="2"/>
    <x v="0"/>
  </r>
  <r>
    <x v="37"/>
    <x v="1"/>
    <x v="8"/>
    <x v="14"/>
    <x v="18"/>
    <x v="1"/>
    <x v="0"/>
  </r>
  <r>
    <x v="38"/>
    <x v="1"/>
    <x v="25"/>
    <x v="15"/>
    <x v="28"/>
    <x v="2"/>
    <x v="0"/>
  </r>
  <r>
    <x v="39"/>
    <x v="1"/>
    <x v="2"/>
    <x v="15"/>
    <x v="29"/>
    <x v="0"/>
    <x v="0"/>
  </r>
  <r>
    <x v="40"/>
    <x v="1"/>
    <x v="26"/>
    <x v="16"/>
    <x v="14"/>
    <x v="3"/>
    <x v="0"/>
  </r>
  <r>
    <x v="41"/>
    <x v="0"/>
    <x v="11"/>
    <x v="16"/>
    <x v="26"/>
    <x v="0"/>
    <x v="0"/>
  </r>
  <r>
    <x v="42"/>
    <x v="0"/>
    <x v="27"/>
    <x v="17"/>
    <x v="30"/>
    <x v="4"/>
    <x v="0"/>
  </r>
  <r>
    <x v="43"/>
    <x v="1"/>
    <x v="4"/>
    <x v="17"/>
    <x v="22"/>
    <x v="1"/>
    <x v="0"/>
  </r>
  <r>
    <x v="44"/>
    <x v="1"/>
    <x v="23"/>
    <x v="17"/>
    <x v="31"/>
    <x v="4"/>
    <x v="0"/>
  </r>
  <r>
    <x v="45"/>
    <x v="1"/>
    <x v="11"/>
    <x v="17"/>
    <x v="32"/>
    <x v="0"/>
    <x v="0"/>
  </r>
  <r>
    <x v="46"/>
    <x v="1"/>
    <x v="28"/>
    <x v="18"/>
    <x v="33"/>
    <x v="4"/>
    <x v="1"/>
  </r>
  <r>
    <x v="47"/>
    <x v="1"/>
    <x v="29"/>
    <x v="18"/>
    <x v="34"/>
    <x v="1"/>
    <x v="1"/>
  </r>
  <r>
    <x v="48"/>
    <x v="1"/>
    <x v="17"/>
    <x v="18"/>
    <x v="35"/>
    <x v="1"/>
    <x v="1"/>
  </r>
  <r>
    <x v="49"/>
    <x v="1"/>
    <x v="4"/>
    <x v="18"/>
    <x v="35"/>
    <x v="1"/>
    <x v="1"/>
  </r>
  <r>
    <x v="50"/>
    <x v="1"/>
    <x v="23"/>
    <x v="19"/>
    <x v="36"/>
    <x v="4"/>
    <x v="1"/>
  </r>
  <r>
    <x v="51"/>
    <x v="0"/>
    <x v="30"/>
    <x v="19"/>
    <x v="37"/>
    <x v="1"/>
    <x v="1"/>
  </r>
  <r>
    <x v="52"/>
    <x v="1"/>
    <x v="4"/>
    <x v="20"/>
    <x v="38"/>
    <x v="1"/>
    <x v="1"/>
  </r>
  <r>
    <x v="53"/>
    <x v="0"/>
    <x v="31"/>
    <x v="20"/>
    <x v="37"/>
    <x v="3"/>
    <x v="1"/>
  </r>
  <r>
    <x v="54"/>
    <x v="1"/>
    <x v="28"/>
    <x v="20"/>
    <x v="39"/>
    <x v="4"/>
    <x v="1"/>
  </r>
  <r>
    <x v="55"/>
    <x v="0"/>
    <x v="32"/>
    <x v="20"/>
    <x v="40"/>
    <x v="4"/>
    <x v="1"/>
  </r>
  <r>
    <x v="56"/>
    <x v="1"/>
    <x v="33"/>
    <x v="21"/>
    <x v="41"/>
    <x v="4"/>
    <x v="1"/>
  </r>
  <r>
    <x v="57"/>
    <x v="0"/>
    <x v="34"/>
    <x v="21"/>
    <x v="42"/>
    <x v="3"/>
    <x v="1"/>
  </r>
  <r>
    <x v="58"/>
    <x v="1"/>
    <x v="29"/>
    <x v="22"/>
    <x v="43"/>
    <x v="1"/>
    <x v="1"/>
  </r>
  <r>
    <x v="59"/>
    <x v="0"/>
    <x v="21"/>
    <x v="22"/>
    <x v="42"/>
    <x v="4"/>
    <x v="1"/>
  </r>
  <r>
    <x v="60"/>
    <x v="0"/>
    <x v="35"/>
    <x v="22"/>
    <x v="44"/>
    <x v="3"/>
    <x v="1"/>
  </r>
  <r>
    <x v="61"/>
    <x v="0"/>
    <x v="0"/>
    <x v="22"/>
    <x v="33"/>
    <x v="0"/>
    <x v="1"/>
  </r>
  <r>
    <x v="62"/>
    <x v="1"/>
    <x v="9"/>
    <x v="23"/>
    <x v="36"/>
    <x v="3"/>
    <x v="1"/>
  </r>
  <r>
    <x v="63"/>
    <x v="1"/>
    <x v="16"/>
    <x v="23"/>
    <x v="45"/>
    <x v="4"/>
    <x v="1"/>
  </r>
  <r>
    <x v="64"/>
    <x v="0"/>
    <x v="36"/>
    <x v="24"/>
    <x v="43"/>
    <x v="3"/>
    <x v="1"/>
  </r>
  <r>
    <x v="65"/>
    <x v="0"/>
    <x v="22"/>
    <x v="24"/>
    <x v="45"/>
    <x v="0"/>
    <x v="1"/>
  </r>
  <r>
    <x v="66"/>
    <x v="1"/>
    <x v="37"/>
    <x v="24"/>
    <x v="41"/>
    <x v="2"/>
    <x v="1"/>
  </r>
  <r>
    <x v="67"/>
    <x v="1"/>
    <x v="38"/>
    <x v="24"/>
    <x v="46"/>
    <x v="3"/>
    <x v="1"/>
  </r>
  <r>
    <x v="68"/>
    <x v="0"/>
    <x v="0"/>
    <x v="24"/>
    <x v="45"/>
    <x v="0"/>
    <x v="1"/>
  </r>
  <r>
    <x v="69"/>
    <x v="1"/>
    <x v="39"/>
    <x v="24"/>
    <x v="34"/>
    <x v="1"/>
    <x v="1"/>
  </r>
  <r>
    <x v="70"/>
    <x v="0"/>
    <x v="35"/>
    <x v="25"/>
    <x v="33"/>
    <x v="3"/>
    <x v="1"/>
  </r>
  <r>
    <x v="71"/>
    <x v="1"/>
    <x v="32"/>
    <x v="25"/>
    <x v="35"/>
    <x v="4"/>
    <x v="1"/>
  </r>
  <r>
    <x v="72"/>
    <x v="1"/>
    <x v="20"/>
    <x v="26"/>
    <x v="47"/>
    <x v="3"/>
    <x v="1"/>
  </r>
  <r>
    <x v="73"/>
    <x v="1"/>
    <x v="20"/>
    <x v="26"/>
    <x v="44"/>
    <x v="3"/>
    <x v="1"/>
  </r>
  <r>
    <x v="74"/>
    <x v="0"/>
    <x v="31"/>
    <x v="27"/>
    <x v="34"/>
    <x v="3"/>
    <x v="1"/>
  </r>
  <r>
    <x v="75"/>
    <x v="0"/>
    <x v="40"/>
    <x v="27"/>
    <x v="38"/>
    <x v="1"/>
    <x v="1"/>
  </r>
  <r>
    <x v="76"/>
    <x v="1"/>
    <x v="18"/>
    <x v="27"/>
    <x v="48"/>
    <x v="4"/>
    <x v="1"/>
  </r>
  <r>
    <x v="77"/>
    <x v="0"/>
    <x v="19"/>
    <x v="27"/>
    <x v="46"/>
    <x v="2"/>
    <x v="1"/>
  </r>
  <r>
    <x v="78"/>
    <x v="1"/>
    <x v="3"/>
    <x v="27"/>
    <x v="36"/>
    <x v="0"/>
    <x v="1"/>
  </r>
  <r>
    <x v="79"/>
    <x v="1"/>
    <x v="23"/>
    <x v="27"/>
    <x v="35"/>
    <x v="4"/>
    <x v="1"/>
  </r>
  <r>
    <x v="80"/>
    <x v="0"/>
    <x v="41"/>
    <x v="27"/>
    <x v="43"/>
    <x v="3"/>
    <x v="1"/>
  </r>
  <r>
    <x v="81"/>
    <x v="0"/>
    <x v="42"/>
    <x v="27"/>
    <x v="33"/>
    <x v="2"/>
    <x v="1"/>
  </r>
  <r>
    <x v="82"/>
    <x v="0"/>
    <x v="9"/>
    <x v="27"/>
    <x v="40"/>
    <x v="3"/>
    <x v="1"/>
  </r>
  <r>
    <x v="83"/>
    <x v="1"/>
    <x v="15"/>
    <x v="27"/>
    <x v="49"/>
    <x v="4"/>
    <x v="1"/>
  </r>
  <r>
    <x v="84"/>
    <x v="1"/>
    <x v="1"/>
    <x v="27"/>
    <x v="50"/>
    <x v="0"/>
    <x v="1"/>
  </r>
  <r>
    <x v="85"/>
    <x v="0"/>
    <x v="27"/>
    <x v="27"/>
    <x v="42"/>
    <x v="4"/>
    <x v="1"/>
  </r>
  <r>
    <x v="86"/>
    <x v="1"/>
    <x v="43"/>
    <x v="28"/>
    <x v="51"/>
    <x v="3"/>
    <x v="1"/>
  </r>
  <r>
    <x v="87"/>
    <x v="1"/>
    <x v="5"/>
    <x v="28"/>
    <x v="33"/>
    <x v="0"/>
    <x v="1"/>
  </r>
  <r>
    <x v="88"/>
    <x v="1"/>
    <x v="44"/>
    <x v="29"/>
    <x v="37"/>
    <x v="1"/>
    <x v="1"/>
  </r>
  <r>
    <x v="89"/>
    <x v="1"/>
    <x v="28"/>
    <x v="29"/>
    <x v="42"/>
    <x v="4"/>
    <x v="1"/>
  </r>
  <r>
    <x v="90"/>
    <x v="1"/>
    <x v="38"/>
    <x v="30"/>
    <x v="33"/>
    <x v="3"/>
    <x v="1"/>
  </r>
  <r>
    <x v="91"/>
    <x v="0"/>
    <x v="22"/>
    <x v="30"/>
    <x v="40"/>
    <x v="0"/>
    <x v="1"/>
  </r>
  <r>
    <x v="92"/>
    <x v="0"/>
    <x v="27"/>
    <x v="31"/>
    <x v="47"/>
    <x v="4"/>
    <x v="1"/>
  </r>
  <r>
    <x v="93"/>
    <x v="1"/>
    <x v="19"/>
    <x v="31"/>
    <x v="4"/>
    <x v="2"/>
    <x v="1"/>
  </r>
  <r>
    <x v="94"/>
    <x v="1"/>
    <x v="39"/>
    <x v="31"/>
    <x v="35"/>
    <x v="1"/>
    <x v="1"/>
  </r>
  <r>
    <x v="95"/>
    <x v="0"/>
    <x v="11"/>
    <x v="31"/>
    <x v="36"/>
    <x v="0"/>
    <x v="1"/>
  </r>
  <r>
    <x v="96"/>
    <x v="1"/>
    <x v="32"/>
    <x v="31"/>
    <x v="34"/>
    <x v="4"/>
    <x v="1"/>
  </r>
  <r>
    <x v="97"/>
    <x v="1"/>
    <x v="29"/>
    <x v="31"/>
    <x v="41"/>
    <x v="1"/>
    <x v="1"/>
  </r>
  <r>
    <x v="98"/>
    <x v="0"/>
    <x v="27"/>
    <x v="32"/>
    <x v="35"/>
    <x v="4"/>
    <x v="1"/>
  </r>
  <r>
    <x v="99"/>
    <x v="0"/>
    <x v="2"/>
    <x v="32"/>
    <x v="47"/>
    <x v="0"/>
    <x v="1"/>
  </r>
  <r>
    <x v="100"/>
    <x v="1"/>
    <x v="3"/>
    <x v="33"/>
    <x v="40"/>
    <x v="0"/>
    <x v="1"/>
  </r>
  <r>
    <x v="101"/>
    <x v="1"/>
    <x v="23"/>
    <x v="33"/>
    <x v="46"/>
    <x v="4"/>
    <x v="1"/>
  </r>
  <r>
    <x v="102"/>
    <x v="0"/>
    <x v="9"/>
    <x v="33"/>
    <x v="45"/>
    <x v="3"/>
    <x v="1"/>
  </r>
  <r>
    <x v="103"/>
    <x v="0"/>
    <x v="40"/>
    <x v="33"/>
    <x v="33"/>
    <x v="1"/>
    <x v="1"/>
  </r>
  <r>
    <x v="104"/>
    <x v="0"/>
    <x v="23"/>
    <x v="33"/>
    <x v="44"/>
    <x v="4"/>
    <x v="1"/>
  </r>
  <r>
    <x v="105"/>
    <x v="1"/>
    <x v="1"/>
    <x v="33"/>
    <x v="35"/>
    <x v="0"/>
    <x v="1"/>
  </r>
  <r>
    <x v="106"/>
    <x v="1"/>
    <x v="45"/>
    <x v="34"/>
    <x v="41"/>
    <x v="3"/>
    <x v="1"/>
  </r>
  <r>
    <x v="107"/>
    <x v="0"/>
    <x v="16"/>
    <x v="34"/>
    <x v="42"/>
    <x v="4"/>
    <x v="1"/>
  </r>
  <r>
    <x v="108"/>
    <x v="0"/>
    <x v="38"/>
    <x v="34"/>
    <x v="52"/>
    <x v="3"/>
    <x v="1"/>
  </r>
  <r>
    <x v="109"/>
    <x v="0"/>
    <x v="45"/>
    <x v="34"/>
    <x v="46"/>
    <x v="3"/>
    <x v="1"/>
  </r>
  <r>
    <x v="110"/>
    <x v="0"/>
    <x v="26"/>
    <x v="34"/>
    <x v="36"/>
    <x v="3"/>
    <x v="1"/>
  </r>
  <r>
    <x v="111"/>
    <x v="1"/>
    <x v="0"/>
    <x v="34"/>
    <x v="38"/>
    <x v="0"/>
    <x v="1"/>
  </r>
  <r>
    <x v="112"/>
    <x v="1"/>
    <x v="42"/>
    <x v="35"/>
    <x v="35"/>
    <x v="2"/>
    <x v="1"/>
  </r>
  <r>
    <x v="113"/>
    <x v="0"/>
    <x v="0"/>
    <x v="35"/>
    <x v="42"/>
    <x v="0"/>
    <x v="1"/>
  </r>
  <r>
    <x v="114"/>
    <x v="1"/>
    <x v="22"/>
    <x v="36"/>
    <x v="46"/>
    <x v="0"/>
    <x v="1"/>
  </r>
  <r>
    <x v="115"/>
    <x v="1"/>
    <x v="0"/>
    <x v="36"/>
    <x v="41"/>
    <x v="0"/>
    <x v="1"/>
  </r>
  <r>
    <x v="116"/>
    <x v="1"/>
    <x v="36"/>
    <x v="36"/>
    <x v="52"/>
    <x v="3"/>
    <x v="1"/>
  </r>
  <r>
    <x v="117"/>
    <x v="1"/>
    <x v="23"/>
    <x v="36"/>
    <x v="45"/>
    <x v="4"/>
    <x v="1"/>
  </r>
  <r>
    <x v="118"/>
    <x v="1"/>
    <x v="33"/>
    <x v="37"/>
    <x v="52"/>
    <x v="4"/>
    <x v="1"/>
  </r>
  <r>
    <x v="119"/>
    <x v="1"/>
    <x v="28"/>
    <x v="37"/>
    <x v="50"/>
    <x v="4"/>
    <x v="1"/>
  </r>
  <r>
    <x v="120"/>
    <x v="0"/>
    <x v="29"/>
    <x v="37"/>
    <x v="44"/>
    <x v="1"/>
    <x v="1"/>
  </r>
  <r>
    <x v="121"/>
    <x v="1"/>
    <x v="42"/>
    <x v="37"/>
    <x v="4"/>
    <x v="2"/>
    <x v="1"/>
  </r>
  <r>
    <x v="122"/>
    <x v="1"/>
    <x v="19"/>
    <x v="38"/>
    <x v="51"/>
    <x v="2"/>
    <x v="1"/>
  </r>
  <r>
    <x v="123"/>
    <x v="0"/>
    <x v="46"/>
    <x v="38"/>
    <x v="53"/>
    <x v="2"/>
    <x v="1"/>
  </r>
  <r>
    <x v="124"/>
    <x v="1"/>
    <x v="3"/>
    <x v="39"/>
    <x v="16"/>
    <x v="0"/>
    <x v="2"/>
  </r>
  <r>
    <x v="125"/>
    <x v="1"/>
    <x v="4"/>
    <x v="39"/>
    <x v="3"/>
    <x v="1"/>
    <x v="2"/>
  </r>
  <r>
    <x v="126"/>
    <x v="0"/>
    <x v="37"/>
    <x v="40"/>
    <x v="14"/>
    <x v="2"/>
    <x v="2"/>
  </r>
  <r>
    <x v="127"/>
    <x v="0"/>
    <x v="19"/>
    <x v="40"/>
    <x v="54"/>
    <x v="2"/>
    <x v="2"/>
  </r>
  <r>
    <x v="128"/>
    <x v="0"/>
    <x v="31"/>
    <x v="40"/>
    <x v="55"/>
    <x v="3"/>
    <x v="2"/>
  </r>
  <r>
    <x v="129"/>
    <x v="0"/>
    <x v="42"/>
    <x v="40"/>
    <x v="29"/>
    <x v="2"/>
    <x v="2"/>
  </r>
  <r>
    <x v="130"/>
    <x v="0"/>
    <x v="32"/>
    <x v="40"/>
    <x v="56"/>
    <x v="4"/>
    <x v="2"/>
  </r>
  <r>
    <x v="131"/>
    <x v="0"/>
    <x v="46"/>
    <x v="40"/>
    <x v="29"/>
    <x v="2"/>
    <x v="2"/>
  </r>
  <r>
    <x v="132"/>
    <x v="1"/>
    <x v="14"/>
    <x v="41"/>
    <x v="57"/>
    <x v="1"/>
    <x v="2"/>
  </r>
  <r>
    <x v="133"/>
    <x v="1"/>
    <x v="4"/>
    <x v="41"/>
    <x v="58"/>
    <x v="1"/>
    <x v="2"/>
  </r>
  <r>
    <x v="134"/>
    <x v="0"/>
    <x v="2"/>
    <x v="42"/>
    <x v="19"/>
    <x v="0"/>
    <x v="2"/>
  </r>
  <r>
    <x v="135"/>
    <x v="1"/>
    <x v="17"/>
    <x v="42"/>
    <x v="59"/>
    <x v="1"/>
    <x v="2"/>
  </r>
  <r>
    <x v="136"/>
    <x v="1"/>
    <x v="47"/>
    <x v="42"/>
    <x v="60"/>
    <x v="2"/>
    <x v="2"/>
  </r>
  <r>
    <x v="137"/>
    <x v="0"/>
    <x v="39"/>
    <x v="42"/>
    <x v="18"/>
    <x v="1"/>
    <x v="2"/>
  </r>
  <r>
    <x v="138"/>
    <x v="0"/>
    <x v="0"/>
    <x v="43"/>
    <x v="61"/>
    <x v="0"/>
    <x v="2"/>
  </r>
  <r>
    <x v="139"/>
    <x v="1"/>
    <x v="6"/>
    <x v="43"/>
    <x v="8"/>
    <x v="2"/>
    <x v="2"/>
  </r>
  <r>
    <x v="140"/>
    <x v="1"/>
    <x v="41"/>
    <x v="44"/>
    <x v="19"/>
    <x v="3"/>
    <x v="2"/>
  </r>
  <r>
    <x v="141"/>
    <x v="0"/>
    <x v="39"/>
    <x v="44"/>
    <x v="62"/>
    <x v="1"/>
    <x v="2"/>
  </r>
  <r>
    <x v="142"/>
    <x v="1"/>
    <x v="48"/>
    <x v="45"/>
    <x v="4"/>
    <x v="1"/>
    <x v="2"/>
  </r>
  <r>
    <x v="143"/>
    <x v="1"/>
    <x v="39"/>
    <x v="45"/>
    <x v="24"/>
    <x v="1"/>
    <x v="2"/>
  </r>
  <r>
    <x v="144"/>
    <x v="0"/>
    <x v="14"/>
    <x v="46"/>
    <x v="63"/>
    <x v="1"/>
    <x v="2"/>
  </r>
  <r>
    <x v="145"/>
    <x v="0"/>
    <x v="48"/>
    <x v="46"/>
    <x v="64"/>
    <x v="1"/>
    <x v="2"/>
  </r>
  <r>
    <x v="146"/>
    <x v="0"/>
    <x v="27"/>
    <x v="46"/>
    <x v="30"/>
    <x v="4"/>
    <x v="2"/>
  </r>
  <r>
    <x v="147"/>
    <x v="1"/>
    <x v="39"/>
    <x v="46"/>
    <x v="65"/>
    <x v="1"/>
    <x v="2"/>
  </r>
  <r>
    <x v="148"/>
    <x v="1"/>
    <x v="44"/>
    <x v="47"/>
    <x v="66"/>
    <x v="1"/>
    <x v="2"/>
  </r>
  <r>
    <x v="149"/>
    <x v="0"/>
    <x v="44"/>
    <x v="47"/>
    <x v="67"/>
    <x v="1"/>
    <x v="2"/>
  </r>
  <r>
    <x v="150"/>
    <x v="0"/>
    <x v="37"/>
    <x v="47"/>
    <x v="27"/>
    <x v="2"/>
    <x v="2"/>
  </r>
  <r>
    <x v="151"/>
    <x v="0"/>
    <x v="46"/>
    <x v="47"/>
    <x v="59"/>
    <x v="2"/>
    <x v="2"/>
  </r>
  <r>
    <x v="152"/>
    <x v="1"/>
    <x v="47"/>
    <x v="47"/>
    <x v="68"/>
    <x v="2"/>
    <x v="2"/>
  </r>
  <r>
    <x v="153"/>
    <x v="1"/>
    <x v="42"/>
    <x v="47"/>
    <x v="5"/>
    <x v="2"/>
    <x v="2"/>
  </r>
  <r>
    <x v="154"/>
    <x v="1"/>
    <x v="32"/>
    <x v="47"/>
    <x v="69"/>
    <x v="4"/>
    <x v="2"/>
  </r>
  <r>
    <x v="155"/>
    <x v="1"/>
    <x v="29"/>
    <x v="47"/>
    <x v="70"/>
    <x v="1"/>
    <x v="2"/>
  </r>
  <r>
    <x v="156"/>
    <x v="0"/>
    <x v="12"/>
    <x v="47"/>
    <x v="71"/>
    <x v="2"/>
    <x v="2"/>
  </r>
  <r>
    <x v="157"/>
    <x v="1"/>
    <x v="8"/>
    <x v="47"/>
    <x v="72"/>
    <x v="1"/>
    <x v="2"/>
  </r>
  <r>
    <x v="158"/>
    <x v="0"/>
    <x v="44"/>
    <x v="47"/>
    <x v="71"/>
    <x v="1"/>
    <x v="2"/>
  </r>
  <r>
    <x v="159"/>
    <x v="1"/>
    <x v="8"/>
    <x v="47"/>
    <x v="18"/>
    <x v="1"/>
    <x v="2"/>
  </r>
  <r>
    <x v="160"/>
    <x v="1"/>
    <x v="49"/>
    <x v="48"/>
    <x v="14"/>
    <x v="3"/>
    <x v="2"/>
  </r>
  <r>
    <x v="161"/>
    <x v="1"/>
    <x v="17"/>
    <x v="48"/>
    <x v="73"/>
    <x v="1"/>
    <x v="2"/>
  </r>
  <r>
    <x v="162"/>
    <x v="0"/>
    <x v="0"/>
    <x v="49"/>
    <x v="19"/>
    <x v="0"/>
    <x v="2"/>
  </r>
  <r>
    <x v="163"/>
    <x v="1"/>
    <x v="4"/>
    <x v="49"/>
    <x v="62"/>
    <x v="1"/>
    <x v="2"/>
  </r>
  <r>
    <x v="164"/>
    <x v="0"/>
    <x v="28"/>
    <x v="50"/>
    <x v="28"/>
    <x v="4"/>
    <x v="2"/>
  </r>
  <r>
    <x v="165"/>
    <x v="1"/>
    <x v="25"/>
    <x v="50"/>
    <x v="29"/>
    <x v="2"/>
    <x v="2"/>
  </r>
  <r>
    <x v="166"/>
    <x v="0"/>
    <x v="24"/>
    <x v="51"/>
    <x v="68"/>
    <x v="2"/>
    <x v="2"/>
  </r>
  <r>
    <x v="167"/>
    <x v="1"/>
    <x v="30"/>
    <x v="51"/>
    <x v="54"/>
    <x v="1"/>
    <x v="2"/>
  </r>
  <r>
    <x v="168"/>
    <x v="1"/>
    <x v="25"/>
    <x v="52"/>
    <x v="74"/>
    <x v="2"/>
    <x v="2"/>
  </r>
  <r>
    <x v="169"/>
    <x v="0"/>
    <x v="39"/>
    <x v="52"/>
    <x v="75"/>
    <x v="1"/>
    <x v="2"/>
  </r>
  <r>
    <x v="170"/>
    <x v="0"/>
    <x v="19"/>
    <x v="52"/>
    <x v="12"/>
    <x v="2"/>
    <x v="2"/>
  </r>
  <r>
    <x v="171"/>
    <x v="0"/>
    <x v="48"/>
    <x v="52"/>
    <x v="29"/>
    <x v="1"/>
    <x v="2"/>
  </r>
  <r>
    <x v="172"/>
    <x v="0"/>
    <x v="25"/>
    <x v="52"/>
    <x v="61"/>
    <x v="2"/>
    <x v="2"/>
  </r>
  <r>
    <x v="173"/>
    <x v="0"/>
    <x v="25"/>
    <x v="52"/>
    <x v="26"/>
    <x v="2"/>
    <x v="2"/>
  </r>
  <r>
    <x v="174"/>
    <x v="1"/>
    <x v="13"/>
    <x v="53"/>
    <x v="12"/>
    <x v="4"/>
    <x v="2"/>
  </r>
  <r>
    <x v="175"/>
    <x v="1"/>
    <x v="8"/>
    <x v="53"/>
    <x v="76"/>
    <x v="1"/>
    <x v="2"/>
  </r>
  <r>
    <x v="176"/>
    <x v="0"/>
    <x v="10"/>
    <x v="53"/>
    <x v="11"/>
    <x v="3"/>
    <x v="2"/>
  </r>
  <r>
    <x v="177"/>
    <x v="0"/>
    <x v="29"/>
    <x v="53"/>
    <x v="77"/>
    <x v="1"/>
    <x v="2"/>
  </r>
  <r>
    <x v="178"/>
    <x v="0"/>
    <x v="31"/>
    <x v="54"/>
    <x v="9"/>
    <x v="3"/>
    <x v="2"/>
  </r>
  <r>
    <x v="179"/>
    <x v="0"/>
    <x v="6"/>
    <x v="54"/>
    <x v="67"/>
    <x v="2"/>
    <x v="2"/>
  </r>
  <r>
    <x v="180"/>
    <x v="1"/>
    <x v="12"/>
    <x v="55"/>
    <x v="21"/>
    <x v="2"/>
    <x v="2"/>
  </r>
  <r>
    <x v="181"/>
    <x v="1"/>
    <x v="39"/>
    <x v="55"/>
    <x v="76"/>
    <x v="1"/>
    <x v="2"/>
  </r>
  <r>
    <x v="182"/>
    <x v="0"/>
    <x v="15"/>
    <x v="56"/>
    <x v="11"/>
    <x v="4"/>
    <x v="2"/>
  </r>
  <r>
    <x v="183"/>
    <x v="1"/>
    <x v="17"/>
    <x v="56"/>
    <x v="59"/>
    <x v="1"/>
    <x v="2"/>
  </r>
  <r>
    <x v="184"/>
    <x v="1"/>
    <x v="50"/>
    <x v="57"/>
    <x v="0"/>
    <x v="2"/>
    <x v="2"/>
  </r>
  <r>
    <x v="185"/>
    <x v="0"/>
    <x v="8"/>
    <x v="57"/>
    <x v="64"/>
    <x v="1"/>
    <x v="2"/>
  </r>
  <r>
    <x v="186"/>
    <x v="1"/>
    <x v="16"/>
    <x v="58"/>
    <x v="78"/>
    <x v="4"/>
    <x v="2"/>
  </r>
  <r>
    <x v="187"/>
    <x v="0"/>
    <x v="48"/>
    <x v="58"/>
    <x v="79"/>
    <x v="1"/>
    <x v="2"/>
  </r>
  <r>
    <x v="188"/>
    <x v="1"/>
    <x v="50"/>
    <x v="59"/>
    <x v="27"/>
    <x v="2"/>
    <x v="2"/>
  </r>
  <r>
    <x v="189"/>
    <x v="1"/>
    <x v="25"/>
    <x v="59"/>
    <x v="80"/>
    <x v="2"/>
    <x v="2"/>
  </r>
  <r>
    <x v="190"/>
    <x v="1"/>
    <x v="44"/>
    <x v="59"/>
    <x v="81"/>
    <x v="1"/>
    <x v="2"/>
  </r>
  <r>
    <x v="191"/>
    <x v="1"/>
    <x v="39"/>
    <x v="59"/>
    <x v="77"/>
    <x v="1"/>
    <x v="2"/>
  </r>
  <r>
    <x v="192"/>
    <x v="0"/>
    <x v="30"/>
    <x v="60"/>
    <x v="82"/>
    <x v="1"/>
    <x v="2"/>
  </r>
  <r>
    <x v="193"/>
    <x v="1"/>
    <x v="42"/>
    <x v="60"/>
    <x v="53"/>
    <x v="2"/>
    <x v="2"/>
  </r>
  <r>
    <x v="194"/>
    <x v="1"/>
    <x v="32"/>
    <x v="61"/>
    <x v="69"/>
    <x v="4"/>
    <x v="2"/>
  </r>
  <r>
    <x v="195"/>
    <x v="1"/>
    <x v="6"/>
    <x v="61"/>
    <x v="13"/>
    <x v="2"/>
    <x v="2"/>
  </r>
  <r>
    <x v="196"/>
    <x v="1"/>
    <x v="18"/>
    <x v="62"/>
    <x v="31"/>
    <x v="4"/>
    <x v="2"/>
  </r>
  <r>
    <x v="197"/>
    <x v="0"/>
    <x v="39"/>
    <x v="62"/>
    <x v="65"/>
    <x v="1"/>
    <x v="2"/>
  </r>
  <r>
    <x v="198"/>
    <x v="0"/>
    <x v="39"/>
    <x v="63"/>
    <x v="83"/>
    <x v="1"/>
    <x v="2"/>
  </r>
  <r>
    <x v="199"/>
    <x v="0"/>
    <x v="8"/>
    <x v="63"/>
    <x v="73"/>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92E273-40F8-4C48-9F24-9BEF9B582DA9}"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3:M7" firstHeaderRow="1" firstDataRow="1" firstDataCol="1"/>
  <pivotFields count="7">
    <pivotField showAll="0"/>
    <pivotField showAll="0">
      <items count="3">
        <item x="1"/>
        <item x="0"/>
        <item t="default"/>
      </items>
    </pivotField>
    <pivotField showAll="0"/>
    <pivotField dataField="1" showAll="0"/>
    <pivotField showAll="0"/>
    <pivotField showAll="0">
      <items count="6">
        <item x="0"/>
        <item x="1"/>
        <item x="2"/>
        <item x="4"/>
        <item x="3"/>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s>
  <rowFields count="1">
    <field x="6"/>
  </rowFields>
  <rowItems count="4">
    <i>
      <x/>
    </i>
    <i>
      <x v="2"/>
    </i>
    <i>
      <x v="1"/>
    </i>
    <i t="grand">
      <x/>
    </i>
  </rowItems>
  <colItems count="1">
    <i/>
  </colItems>
  <dataFields count="1">
    <dataField name="Average of Annual Income (k$)" fld="3" subtotal="average" baseField="6" baseItem="0"/>
  </dataFields>
  <formats count="1">
    <format dxfId="12">
      <pivotArea collapsedLevelsAreSubtotals="1" fieldPosition="0">
        <references count="1">
          <reference field="6" count="0"/>
        </references>
      </pivotArea>
    </format>
  </format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6" count="1" selected="0">
            <x v="1"/>
          </reference>
        </references>
      </pivotArea>
    </chartFormat>
    <chartFormat chart="8" format="2">
      <pivotArea type="data" outline="0" fieldPosition="0">
        <references count="2">
          <reference field="4294967294" count="1" selected="0">
            <x v="0"/>
          </reference>
          <reference field="6" count="1" selected="0">
            <x v="2"/>
          </reference>
        </references>
      </pivotArea>
    </chartFormat>
    <chartFormat chart="8" format="3">
      <pivotArea type="data" outline="0" fieldPosition="0">
        <references count="2">
          <reference field="4294967294" count="1" selected="0">
            <x v="0"/>
          </reference>
          <reference field="6"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6" count="1" selected="0">
            <x v="0"/>
          </reference>
        </references>
      </pivotArea>
    </chartFormat>
    <chartFormat chart="15" format="10">
      <pivotArea type="data" outline="0" fieldPosition="0">
        <references count="2">
          <reference field="4294967294" count="1" selected="0">
            <x v="0"/>
          </reference>
          <reference field="6" count="1" selected="0">
            <x v="2"/>
          </reference>
        </references>
      </pivotArea>
    </chartFormat>
    <chartFormat chart="15" format="1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CAADE0-B3BF-4257-A853-FDD4959AFA0B}"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9" firstHeaderRow="1" firstDataRow="1" firstDataCol="1"/>
  <pivotFields count="7">
    <pivotField showAll="0"/>
    <pivotField showAll="0">
      <items count="3">
        <item x="1"/>
        <item x="0"/>
        <item t="default"/>
      </items>
    </pivotField>
    <pivotField showAll="0"/>
    <pivotField showAll="0"/>
    <pivotField dataField="1" showAll="0"/>
    <pivotField axis="axisRow" showAll="0">
      <items count="6">
        <item x="0"/>
        <item x="1"/>
        <item x="2"/>
        <item x="4"/>
        <item x="3"/>
        <item t="default"/>
      </items>
    </pivotField>
    <pivotField showAll="0">
      <items count="4">
        <item x="2"/>
        <item x="0"/>
        <item x="1"/>
        <item t="default"/>
      </items>
    </pivotField>
  </pivotFields>
  <rowFields count="1">
    <field x="5"/>
  </rowFields>
  <rowItems count="6">
    <i>
      <x/>
    </i>
    <i>
      <x v="1"/>
    </i>
    <i>
      <x v="2"/>
    </i>
    <i>
      <x v="3"/>
    </i>
    <i>
      <x v="4"/>
    </i>
    <i t="grand">
      <x/>
    </i>
  </rowItems>
  <colItems count="1">
    <i/>
  </colItems>
  <dataFields count="1">
    <dataField name="Average of Spending Score (1-100)" fld="4" subtotal="average" baseField="5" baseItem="0"/>
  </dataFields>
  <formats count="1">
    <format dxfId="13">
      <pivotArea collapsedLevelsAreSubtotals="1" fieldPosition="0">
        <references count="1">
          <reference field="5" count="0"/>
        </references>
      </pivotArea>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4"/>
          </reference>
        </references>
      </pivotArea>
    </chartFormat>
    <chartFormat chart="3" format="2">
      <pivotArea type="data" outline="0" fieldPosition="0">
        <references count="2">
          <reference field="4294967294" count="1" selected="0">
            <x v="0"/>
          </reference>
          <reference field="5" count="1" selected="0">
            <x v="3"/>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1"/>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83D221-E67F-41DF-83FC-ACA54A646479}"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7">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items count="3">
        <item x="1"/>
        <item x="0"/>
        <item t="default"/>
      </items>
    </pivotField>
    <pivotField showAll="0">
      <items count="52">
        <item x="22"/>
        <item x="0"/>
        <item x="2"/>
        <item x="1"/>
        <item x="5"/>
        <item x="3"/>
        <item x="11"/>
        <item x="14"/>
        <item x="40"/>
        <item x="29"/>
        <item x="48"/>
        <item x="17"/>
        <item x="8"/>
        <item x="4"/>
        <item x="39"/>
        <item x="30"/>
        <item x="44"/>
        <item x="6"/>
        <item x="25"/>
        <item x="12"/>
        <item x="42"/>
        <item x="46"/>
        <item x="19"/>
        <item x="50"/>
        <item x="24"/>
        <item x="37"/>
        <item x="47"/>
        <item x="18"/>
        <item x="15"/>
        <item x="32"/>
        <item x="27"/>
        <item x="23"/>
        <item x="28"/>
        <item x="33"/>
        <item x="13"/>
        <item x="21"/>
        <item x="16"/>
        <item x="43"/>
        <item x="49"/>
        <item x="41"/>
        <item x="10"/>
        <item x="31"/>
        <item x="20"/>
        <item x="36"/>
        <item x="7"/>
        <item x="26"/>
        <item x="45"/>
        <item x="9"/>
        <item x="38"/>
        <item x="34"/>
        <item x="35"/>
        <item t="default"/>
      </items>
    </pivotField>
    <pivotField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showAll="0">
      <items count="85">
        <item x="71"/>
        <item x="7"/>
        <item x="25"/>
        <item x="19"/>
        <item x="2"/>
        <item x="60"/>
        <item x="82"/>
        <item x="56"/>
        <item x="61"/>
        <item x="55"/>
        <item x="63"/>
        <item x="12"/>
        <item x="9"/>
        <item x="11"/>
        <item x="69"/>
        <item x="27"/>
        <item x="83"/>
        <item x="68"/>
        <item x="66"/>
        <item x="81"/>
        <item x="78"/>
        <item x="28"/>
        <item x="74"/>
        <item x="31"/>
        <item x="16"/>
        <item x="23"/>
        <item x="21"/>
        <item x="57"/>
        <item x="14"/>
        <item x="30"/>
        <item x="0"/>
        <item x="4"/>
        <item x="40"/>
        <item x="35"/>
        <item x="52"/>
        <item x="49"/>
        <item x="39"/>
        <item x="42"/>
        <item x="34"/>
        <item x="46"/>
        <item x="47"/>
        <item x="41"/>
        <item x="43"/>
        <item x="36"/>
        <item x="48"/>
        <item x="38"/>
        <item x="33"/>
        <item x="44"/>
        <item x="50"/>
        <item x="51"/>
        <item x="45"/>
        <item x="37"/>
        <item x="22"/>
        <item x="75"/>
        <item x="32"/>
        <item x="15"/>
        <item x="79"/>
        <item x="77"/>
        <item x="58"/>
        <item x="8"/>
        <item x="18"/>
        <item x="65"/>
        <item x="29"/>
        <item x="5"/>
        <item x="3"/>
        <item x="72"/>
        <item x="13"/>
        <item x="1"/>
        <item x="20"/>
        <item x="73"/>
        <item x="80"/>
        <item x="76"/>
        <item x="24"/>
        <item x="59"/>
        <item x="70"/>
        <item x="67"/>
        <item x="53"/>
        <item x="26"/>
        <item x="62"/>
        <item x="6"/>
        <item x="54"/>
        <item x="64"/>
        <item x="17"/>
        <item x="10"/>
        <item t="default"/>
      </items>
    </pivotField>
    <pivotField showAll="0">
      <items count="6">
        <item x="0"/>
        <item x="1"/>
        <item x="2"/>
        <item x="4"/>
        <item x="3"/>
        <item t="default"/>
      </items>
    </pivotField>
    <pivotField showAll="0">
      <items count="4">
        <item x="2"/>
        <item x="0"/>
        <item x="1"/>
        <item t="default"/>
      </items>
    </pivotField>
  </pivotFields>
  <rowFields count="1">
    <field x="1"/>
  </rowFields>
  <rowItems count="3">
    <i>
      <x/>
    </i>
    <i>
      <x v="1"/>
    </i>
    <i t="grand">
      <x/>
    </i>
  </rowItems>
  <colItems count="1">
    <i/>
  </colItems>
  <dataFields count="1">
    <dataField name="Count of CustomerID" fld="0" subtotal="count" baseField="1"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BE4ED40-640E-4259-986E-2AB49674AAB7}" sourceName="Gender">
  <pivotTables>
    <pivotTable tabId="3" name="PivotTable1"/>
    <pivotTable tabId="3" name="PivotTable2"/>
    <pivotTable tabId="3" name="PivotTable3"/>
  </pivotTables>
  <data>
    <tabular pivotCacheId="173227674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0098433-F19B-47B2-82B7-DC9D637E7B52}" sourceName="Age Group">
  <pivotTables>
    <pivotTable tabId="3" name="PivotTable1"/>
    <pivotTable tabId="3" name="PivotTable2"/>
    <pivotTable tabId="3" name="PivotTable3"/>
  </pivotTables>
  <data>
    <tabular pivotCacheId="1732276740">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 xr10:uid="{AE399811-3A70-4DBE-BA6C-106DE2C22811}" sourceName="Income Level">
  <pivotTables>
    <pivotTable tabId="3" name="PivotTable1"/>
    <pivotTable tabId="3" name="PivotTable2"/>
    <pivotTable tabId="3" name="PivotTable3"/>
  </pivotTables>
  <data>
    <tabular pivotCacheId="173227674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2BC6D04-F965-470B-A89D-C9C08A05BF9D}" cache="Slicer_Gender" caption="Gender" rowHeight="234950"/>
  <slicer name="Age Group" xr10:uid="{097B0BDA-FB03-4BB9-B832-1AE4F7BBE5CF}" cache="Slicer_Age_Group" caption="Age Group" rowHeight="234950"/>
  <slicer name="Income Level" xr10:uid="{61765B11-751C-47B3-81C6-38A3D9E712A5}" cache="Slicer_Income_Level" caption="Income Lev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420475-5D63-404B-A2D5-BE5CB7E0AEEC}" name="tblCustomers" displayName="tblCustomers" ref="A1:G201" totalsRowShown="0" headerRowDxfId="14" headerRowBorderDxfId="15" tableBorderDxfId="16">
  <autoFilter ref="A1:G201" xr:uid="{F3420475-5D63-404B-A2D5-BE5CB7E0AEEC}"/>
  <tableColumns count="7">
    <tableColumn id="1" xr3:uid="{B78D6DB8-1F0E-4C3B-8E89-3CE0B00AAE51}" name="CustomerID"/>
    <tableColumn id="2" xr3:uid="{75E7849E-4907-468C-814B-D2433B21A18D}" name="Gender"/>
    <tableColumn id="3" xr3:uid="{8451B9C1-65FC-4DEE-8653-A329416C1982}" name="Age"/>
    <tableColumn id="4" xr3:uid="{16823B90-6D80-495D-BDC1-22D3DBC14E7B}" name="Annual Income (k$)"/>
    <tableColumn id="5" xr3:uid="{37F825B3-DBB2-4A7E-BBEF-6BFFC03D56E2}" name="Spending Score (1-100)"/>
    <tableColumn id="6" xr3:uid="{524EF90E-7B8A-4A02-9F3E-9E9A53020067}" name="Age Group">
      <calculatedColumnFormula>IF(C2&lt;25,"&lt;25",IF(C2&lt;35,"25-34",IF(C2&lt;45,"35-44",IF(C2&lt;55,"45-54","55+"))))</calculatedColumnFormula>
    </tableColumn>
    <tableColumn id="7" xr3:uid="{00630AF4-F047-4C44-BF8B-4923CF6C687D}" name="Income Level">
      <calculatedColumnFormula>IF(D2&lt;40,"Low",IF(D2&lt;70,"Medium","High"))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5F454-170C-48D8-BDE9-C3C3DC6E80E5}">
  <dimension ref="A1:Q44"/>
  <sheetViews>
    <sheetView showGridLines="0" tabSelected="1" zoomScale="66" zoomScaleNormal="100" workbookViewId="0">
      <selection activeCell="N4" sqref="N4"/>
    </sheetView>
  </sheetViews>
  <sheetFormatPr defaultRowHeight="14.4" x14ac:dyDescent="0.3"/>
  <sheetData>
    <row r="1" spans="1:17" x14ac:dyDescent="0.3">
      <c r="A1" s="21"/>
      <c r="B1" s="21"/>
      <c r="C1" s="21"/>
      <c r="D1" s="21"/>
      <c r="E1" s="21"/>
      <c r="F1" s="21"/>
      <c r="G1" s="21"/>
      <c r="H1" s="21"/>
      <c r="I1" s="21"/>
      <c r="J1" s="21"/>
      <c r="K1" s="21"/>
      <c r="L1" s="21"/>
      <c r="M1" s="21"/>
      <c r="N1" s="21"/>
      <c r="O1" s="21"/>
      <c r="P1" s="21"/>
      <c r="Q1" s="21"/>
    </row>
    <row r="2" spans="1:17" ht="30" x14ac:dyDescent="0.7">
      <c r="A2" s="6" t="s">
        <v>22</v>
      </c>
      <c r="B2" s="6"/>
      <c r="C2" s="6"/>
      <c r="D2" s="6"/>
      <c r="E2" s="6"/>
      <c r="F2" s="6"/>
      <c r="G2" s="6"/>
      <c r="H2" s="6"/>
      <c r="I2" s="6"/>
      <c r="J2" s="6"/>
      <c r="K2" s="6"/>
      <c r="L2" s="6"/>
      <c r="M2" s="6"/>
      <c r="N2" s="6"/>
      <c r="O2" s="6"/>
      <c r="P2" s="6"/>
      <c r="Q2" s="6"/>
    </row>
    <row r="3" spans="1:17" ht="15.6" x14ac:dyDescent="0.3">
      <c r="A3" s="8" t="s">
        <v>23</v>
      </c>
      <c r="B3" s="8"/>
      <c r="C3" s="8"/>
      <c r="D3" s="8"/>
      <c r="E3" s="8"/>
      <c r="F3" s="8"/>
      <c r="G3" s="8"/>
      <c r="H3" s="8"/>
      <c r="I3" s="8"/>
      <c r="J3" s="8"/>
      <c r="K3" s="8"/>
      <c r="L3" s="8"/>
      <c r="M3" s="8"/>
      <c r="N3" s="8"/>
      <c r="O3" s="8"/>
      <c r="P3" s="8"/>
      <c r="Q3" s="8"/>
    </row>
    <row r="4" spans="1:17" x14ac:dyDescent="0.3">
      <c r="A4" s="21"/>
      <c r="B4" s="21"/>
      <c r="C4" s="21"/>
      <c r="D4" s="21"/>
      <c r="E4" s="21"/>
      <c r="F4" s="21"/>
      <c r="G4" s="21"/>
      <c r="H4" s="21"/>
      <c r="I4" s="21"/>
      <c r="J4" s="21"/>
      <c r="K4" s="21"/>
      <c r="L4" s="21"/>
      <c r="M4" s="21"/>
      <c r="N4" s="21"/>
      <c r="O4" s="21"/>
      <c r="P4" s="21"/>
      <c r="Q4" s="21"/>
    </row>
    <row r="5" spans="1:17" x14ac:dyDescent="0.3">
      <c r="A5" s="21"/>
      <c r="B5" s="21"/>
      <c r="C5" s="21"/>
      <c r="D5" s="21"/>
      <c r="E5" s="21"/>
      <c r="F5" s="21"/>
      <c r="G5" s="21"/>
      <c r="H5" s="21"/>
      <c r="I5" s="21"/>
      <c r="J5" s="21"/>
      <c r="K5" s="21"/>
      <c r="L5" s="21"/>
      <c r="M5" s="21"/>
      <c r="N5" s="21"/>
      <c r="O5" s="21"/>
      <c r="P5" s="21"/>
      <c r="Q5" s="21"/>
    </row>
    <row r="6" spans="1:17" x14ac:dyDescent="0.3">
      <c r="A6" s="21"/>
      <c r="B6" s="21"/>
      <c r="C6" s="21"/>
      <c r="D6" s="21"/>
      <c r="E6" s="9" t="s">
        <v>24</v>
      </c>
      <c r="F6" s="10"/>
      <c r="G6" s="11"/>
      <c r="H6" s="21"/>
      <c r="I6" s="9" t="s">
        <v>25</v>
      </c>
      <c r="J6" s="10"/>
      <c r="K6" s="11"/>
      <c r="L6" s="21"/>
      <c r="M6" s="9" t="s">
        <v>26</v>
      </c>
      <c r="N6" s="10"/>
      <c r="O6" s="11"/>
      <c r="P6" s="21"/>
      <c r="Q6" s="21"/>
    </row>
    <row r="7" spans="1:17" ht="14.4" customHeight="1" x14ac:dyDescent="0.3">
      <c r="A7" s="21"/>
      <c r="B7" s="21"/>
      <c r="C7" s="21"/>
      <c r="D7" s="21"/>
      <c r="E7" s="12">
        <f>COUNTA(tblCustomers[CustomerID])</f>
        <v>200</v>
      </c>
      <c r="F7" s="13"/>
      <c r="G7" s="14"/>
      <c r="H7" s="21"/>
      <c r="I7" s="12">
        <f>AVERAGE(tblCustomers[Annual Income (k$)])</f>
        <v>60.56</v>
      </c>
      <c r="J7" s="13"/>
      <c r="K7" s="14"/>
      <c r="L7" s="21"/>
      <c r="M7" s="12">
        <f>AVERAGE(tblCustomers[Spending Score (1-100)])</f>
        <v>50.2</v>
      </c>
      <c r="N7" s="13"/>
      <c r="O7" s="14"/>
      <c r="P7" s="21"/>
      <c r="Q7" s="21"/>
    </row>
    <row r="8" spans="1:17" ht="14.4" customHeight="1" x14ac:dyDescent="0.3">
      <c r="A8" s="21"/>
      <c r="B8" s="21"/>
      <c r="C8" s="21"/>
      <c r="D8" s="21"/>
      <c r="E8" s="15"/>
      <c r="F8" s="16"/>
      <c r="G8" s="17"/>
      <c r="H8" s="21"/>
      <c r="I8" s="15"/>
      <c r="J8" s="16"/>
      <c r="K8" s="17"/>
      <c r="L8" s="21"/>
      <c r="M8" s="15"/>
      <c r="N8" s="16"/>
      <c r="O8" s="17"/>
      <c r="P8" s="21"/>
      <c r="Q8" s="21"/>
    </row>
    <row r="9" spans="1:17" ht="14.4" customHeight="1" x14ac:dyDescent="0.3">
      <c r="A9" s="21"/>
      <c r="B9" s="21"/>
      <c r="C9" s="21"/>
      <c r="D9" s="21"/>
      <c r="E9" s="18"/>
      <c r="F9" s="19"/>
      <c r="G9" s="20"/>
      <c r="H9" s="21"/>
      <c r="I9" s="18"/>
      <c r="J9" s="19"/>
      <c r="K9" s="20"/>
      <c r="L9" s="21"/>
      <c r="M9" s="18"/>
      <c r="N9" s="19"/>
      <c r="O9" s="20"/>
      <c r="P9" s="21"/>
      <c r="Q9" s="21"/>
    </row>
    <row r="10" spans="1:17" x14ac:dyDescent="0.3">
      <c r="A10" s="21"/>
      <c r="B10" s="21"/>
      <c r="C10" s="21"/>
      <c r="D10" s="21"/>
      <c r="E10" s="21"/>
      <c r="F10" s="21"/>
      <c r="G10" s="21"/>
      <c r="H10" s="21"/>
      <c r="I10" s="21"/>
      <c r="J10" s="21"/>
      <c r="K10" s="21"/>
      <c r="L10" s="21"/>
      <c r="M10" s="21"/>
      <c r="N10" s="21"/>
      <c r="O10" s="21"/>
      <c r="P10" s="21"/>
      <c r="Q10" s="21"/>
    </row>
    <row r="11" spans="1:17" x14ac:dyDescent="0.3">
      <c r="A11" s="21"/>
      <c r="B11" s="21"/>
      <c r="C11" s="21"/>
      <c r="D11" s="21"/>
      <c r="E11" s="21"/>
      <c r="F11" s="21"/>
      <c r="G11" s="21"/>
      <c r="H11" s="21"/>
      <c r="I11" s="21"/>
      <c r="J11" s="21"/>
      <c r="K11" s="21"/>
      <c r="L11" s="21"/>
      <c r="M11" s="21"/>
      <c r="N11" s="21"/>
      <c r="O11" s="21"/>
      <c r="P11" s="21"/>
      <c r="Q11" s="21"/>
    </row>
    <row r="12" spans="1:17" x14ac:dyDescent="0.3">
      <c r="A12" s="21"/>
      <c r="B12" s="21"/>
      <c r="C12" s="21"/>
      <c r="D12" s="21"/>
      <c r="E12" s="21"/>
      <c r="F12" s="21"/>
      <c r="G12" s="21"/>
      <c r="H12" s="21"/>
      <c r="I12" s="21"/>
      <c r="J12" s="21"/>
      <c r="K12" s="21"/>
      <c r="L12" s="21"/>
      <c r="M12" s="21"/>
      <c r="N12" s="21"/>
      <c r="O12" s="21"/>
      <c r="P12" s="21"/>
      <c r="Q12" s="21"/>
    </row>
    <row r="13" spans="1:17" x14ac:dyDescent="0.3">
      <c r="A13" s="21"/>
      <c r="B13" s="21"/>
      <c r="C13" s="21"/>
      <c r="D13" s="21"/>
      <c r="E13" s="21"/>
      <c r="F13" s="21"/>
      <c r="G13" s="21"/>
      <c r="H13" s="21"/>
      <c r="I13" s="21"/>
      <c r="J13" s="21"/>
      <c r="K13" s="21"/>
      <c r="L13" s="21"/>
      <c r="M13" s="21"/>
      <c r="N13" s="21"/>
      <c r="O13" s="21"/>
      <c r="P13" s="21"/>
      <c r="Q13" s="21"/>
    </row>
    <row r="14" spans="1:17" x14ac:dyDescent="0.3">
      <c r="A14" s="21"/>
      <c r="B14" s="21"/>
      <c r="C14" s="21"/>
      <c r="D14" s="21"/>
      <c r="E14" s="21"/>
      <c r="F14" s="21"/>
      <c r="G14" s="21"/>
      <c r="H14" s="21"/>
      <c r="I14" s="21"/>
      <c r="J14" s="21"/>
      <c r="K14" s="21"/>
      <c r="L14" s="21"/>
      <c r="M14" s="21"/>
      <c r="N14" s="21"/>
      <c r="O14" s="21"/>
      <c r="P14" s="21"/>
      <c r="Q14" s="21"/>
    </row>
    <row r="15" spans="1:17" x14ac:dyDescent="0.3">
      <c r="A15" s="21"/>
      <c r="B15" s="21"/>
      <c r="C15" s="21"/>
      <c r="D15" s="21"/>
      <c r="E15" s="21"/>
      <c r="F15" s="21"/>
      <c r="G15" s="21"/>
      <c r="H15" s="21"/>
      <c r="I15" s="21"/>
      <c r="J15" s="21"/>
      <c r="K15" s="21"/>
      <c r="L15" s="21"/>
      <c r="M15" s="21"/>
      <c r="N15" s="21"/>
      <c r="O15" s="21"/>
      <c r="P15" s="21"/>
      <c r="Q15" s="21"/>
    </row>
    <row r="16" spans="1:17" x14ac:dyDescent="0.3">
      <c r="A16" s="21"/>
      <c r="B16" s="21"/>
      <c r="C16" s="21"/>
      <c r="D16" s="21"/>
      <c r="E16" s="21"/>
      <c r="F16" s="21"/>
      <c r="G16" s="21"/>
      <c r="H16" s="21"/>
      <c r="I16" s="21"/>
      <c r="J16" s="21"/>
      <c r="K16" s="21"/>
      <c r="L16" s="21"/>
      <c r="M16" s="21"/>
      <c r="N16" s="21"/>
      <c r="O16" s="21"/>
      <c r="P16" s="21"/>
      <c r="Q16" s="21"/>
    </row>
    <row r="17" spans="1:17" x14ac:dyDescent="0.3">
      <c r="A17" s="21"/>
      <c r="B17" s="21"/>
      <c r="C17" s="21"/>
      <c r="D17" s="21"/>
      <c r="E17" s="21"/>
      <c r="F17" s="21"/>
      <c r="G17" s="21"/>
      <c r="H17" s="21"/>
      <c r="I17" s="21"/>
      <c r="J17" s="21"/>
      <c r="K17" s="21"/>
      <c r="L17" s="21"/>
      <c r="M17" s="21"/>
      <c r="N17" s="21"/>
      <c r="O17" s="21"/>
      <c r="P17" s="21"/>
      <c r="Q17" s="21"/>
    </row>
    <row r="18" spans="1:17" x14ac:dyDescent="0.3">
      <c r="A18" s="21"/>
      <c r="B18" s="21"/>
      <c r="C18" s="21"/>
      <c r="D18" s="21"/>
      <c r="E18" s="21"/>
      <c r="F18" s="21"/>
      <c r="G18" s="21"/>
      <c r="H18" s="21"/>
      <c r="I18" s="21"/>
      <c r="J18" s="21"/>
      <c r="K18" s="21"/>
      <c r="L18" s="21"/>
      <c r="M18" s="21"/>
      <c r="N18" s="21"/>
      <c r="O18" s="21"/>
      <c r="P18" s="21"/>
      <c r="Q18" s="21"/>
    </row>
    <row r="19" spans="1:17" x14ac:dyDescent="0.3">
      <c r="A19" s="21"/>
      <c r="B19" s="21"/>
      <c r="C19" s="21"/>
      <c r="D19" s="21"/>
      <c r="E19" s="21"/>
      <c r="F19" s="21"/>
      <c r="G19" s="21"/>
      <c r="H19" s="21"/>
      <c r="I19" s="21"/>
      <c r="J19" s="21"/>
      <c r="K19" s="21"/>
      <c r="L19" s="21"/>
      <c r="M19" s="21"/>
      <c r="N19" s="21"/>
      <c r="O19" s="21"/>
      <c r="P19" s="21"/>
      <c r="Q19" s="21"/>
    </row>
    <row r="20" spans="1:17" x14ac:dyDescent="0.3">
      <c r="A20" s="21"/>
      <c r="B20" s="21"/>
      <c r="C20" s="21"/>
      <c r="D20" s="21"/>
      <c r="E20" s="21"/>
      <c r="F20" s="21"/>
      <c r="G20" s="21"/>
      <c r="H20" s="21"/>
      <c r="I20" s="21"/>
      <c r="J20" s="21"/>
      <c r="K20" s="21"/>
      <c r="L20" s="21"/>
      <c r="M20" s="21"/>
      <c r="N20" s="21"/>
      <c r="O20" s="21"/>
      <c r="P20" s="21"/>
      <c r="Q20" s="21"/>
    </row>
    <row r="21" spans="1:17" x14ac:dyDescent="0.3">
      <c r="A21" s="21"/>
      <c r="B21" s="21"/>
      <c r="C21" s="21"/>
      <c r="D21" s="21"/>
      <c r="E21" s="21"/>
      <c r="F21" s="21"/>
      <c r="G21" s="21"/>
      <c r="H21" s="21"/>
      <c r="I21" s="21"/>
      <c r="J21" s="21"/>
      <c r="K21" s="21"/>
      <c r="L21" s="21"/>
      <c r="M21" s="21"/>
      <c r="N21" s="21"/>
      <c r="O21" s="21"/>
      <c r="P21" s="21"/>
      <c r="Q21" s="21"/>
    </row>
    <row r="22" spans="1:17" x14ac:dyDescent="0.3">
      <c r="A22" s="21"/>
      <c r="B22" s="21"/>
      <c r="C22" s="21"/>
      <c r="D22" s="21"/>
      <c r="E22" s="21"/>
      <c r="F22" s="21"/>
      <c r="G22" s="21"/>
      <c r="H22" s="21"/>
      <c r="I22" s="21"/>
      <c r="J22" s="21"/>
      <c r="K22" s="21"/>
      <c r="L22" s="21"/>
      <c r="M22" s="21"/>
      <c r="N22" s="21"/>
      <c r="O22" s="21"/>
      <c r="P22" s="21"/>
      <c r="Q22" s="21"/>
    </row>
    <row r="23" spans="1:17" x14ac:dyDescent="0.3">
      <c r="A23" s="21"/>
      <c r="B23" s="21"/>
      <c r="C23" s="21"/>
      <c r="D23" s="21"/>
      <c r="E23" s="21"/>
      <c r="F23" s="21"/>
      <c r="G23" s="21"/>
      <c r="H23" s="21"/>
      <c r="I23" s="21"/>
      <c r="J23" s="21"/>
      <c r="K23" s="21"/>
      <c r="L23" s="21"/>
      <c r="M23" s="21"/>
      <c r="N23" s="21"/>
      <c r="O23" s="21"/>
      <c r="P23" s="21"/>
      <c r="Q23" s="21"/>
    </row>
    <row r="24" spans="1:17" x14ac:dyDescent="0.3">
      <c r="A24" s="21"/>
      <c r="B24" s="21"/>
      <c r="C24" s="21"/>
      <c r="D24" s="21"/>
      <c r="E24" s="21"/>
      <c r="F24" s="21"/>
      <c r="G24" s="21"/>
      <c r="H24" s="21"/>
      <c r="I24" s="21"/>
      <c r="J24" s="21"/>
      <c r="K24" s="21"/>
      <c r="L24" s="21"/>
      <c r="M24" s="21"/>
      <c r="N24" s="21"/>
      <c r="O24" s="21"/>
      <c r="P24" s="21"/>
      <c r="Q24" s="21"/>
    </row>
    <row r="25" spans="1:17" x14ac:dyDescent="0.3">
      <c r="A25" s="21"/>
      <c r="B25" s="21"/>
      <c r="C25" s="21"/>
      <c r="D25" s="21"/>
      <c r="E25" s="21"/>
      <c r="F25" s="21"/>
      <c r="G25" s="21"/>
      <c r="H25" s="21"/>
      <c r="I25" s="21"/>
      <c r="J25" s="21"/>
      <c r="K25" s="21"/>
      <c r="L25" s="21"/>
      <c r="M25" s="21"/>
      <c r="N25" s="21"/>
      <c r="O25" s="21"/>
      <c r="P25" s="21"/>
      <c r="Q25" s="21"/>
    </row>
    <row r="26" spans="1:17" x14ac:dyDescent="0.3">
      <c r="A26" s="21"/>
      <c r="B26" s="21"/>
      <c r="C26" s="21"/>
      <c r="D26" s="21"/>
      <c r="E26" s="21"/>
      <c r="F26" s="21"/>
      <c r="G26" s="21"/>
      <c r="H26" s="21"/>
      <c r="I26" s="21"/>
      <c r="J26" s="21"/>
      <c r="K26" s="21"/>
      <c r="L26" s="21"/>
      <c r="M26" s="21"/>
      <c r="N26" s="21"/>
      <c r="O26" s="21"/>
      <c r="P26" s="21"/>
      <c r="Q26" s="21"/>
    </row>
    <row r="27" spans="1:17" x14ac:dyDescent="0.3">
      <c r="A27" s="21"/>
      <c r="B27" s="21"/>
      <c r="C27" s="21"/>
      <c r="D27" s="21"/>
      <c r="E27" s="21"/>
      <c r="F27" s="21"/>
      <c r="G27" s="21"/>
      <c r="H27" s="21"/>
      <c r="I27" s="21"/>
      <c r="J27" s="21"/>
      <c r="K27" s="21"/>
      <c r="L27" s="21"/>
      <c r="M27" s="21"/>
      <c r="N27" s="21"/>
      <c r="O27" s="21"/>
      <c r="P27" s="21"/>
      <c r="Q27" s="21"/>
    </row>
    <row r="28" spans="1:17" x14ac:dyDescent="0.3">
      <c r="A28" s="21"/>
      <c r="B28" s="21"/>
      <c r="C28" s="21"/>
      <c r="D28" s="21"/>
      <c r="E28" s="21"/>
      <c r="F28" s="21"/>
      <c r="G28" s="21"/>
      <c r="H28" s="21"/>
      <c r="I28" s="21"/>
      <c r="J28" s="21"/>
      <c r="K28" s="21"/>
      <c r="L28" s="21"/>
      <c r="M28" s="21"/>
      <c r="N28" s="21"/>
      <c r="O28" s="21"/>
      <c r="P28" s="21"/>
      <c r="Q28" s="21"/>
    </row>
    <row r="29" spans="1:17" x14ac:dyDescent="0.3">
      <c r="A29" s="21"/>
      <c r="B29" s="21"/>
      <c r="C29" s="21"/>
      <c r="D29" s="21"/>
      <c r="E29" s="21"/>
      <c r="F29" s="21"/>
      <c r="G29" s="21"/>
      <c r="H29" s="21"/>
      <c r="I29" s="21"/>
      <c r="J29" s="21"/>
      <c r="K29" s="21"/>
      <c r="L29" s="21"/>
      <c r="M29" s="21"/>
      <c r="N29" s="21"/>
      <c r="O29" s="21"/>
      <c r="P29" s="21"/>
      <c r="Q29" s="21"/>
    </row>
    <row r="30" spans="1:17" x14ac:dyDescent="0.3">
      <c r="A30" s="21"/>
      <c r="B30" s="21"/>
      <c r="C30" s="21"/>
      <c r="D30" s="21"/>
      <c r="E30" s="21"/>
      <c r="F30" s="21"/>
      <c r="G30" s="21"/>
      <c r="H30" s="21"/>
      <c r="I30" s="21"/>
      <c r="J30" s="21"/>
      <c r="K30" s="21"/>
      <c r="L30" s="21"/>
      <c r="M30" s="21"/>
      <c r="N30" s="21"/>
      <c r="O30" s="21"/>
      <c r="P30" s="21"/>
      <c r="Q30" s="21"/>
    </row>
    <row r="31" spans="1:17" x14ac:dyDescent="0.3">
      <c r="A31" s="21"/>
      <c r="B31" s="21"/>
      <c r="C31" s="21"/>
      <c r="D31" s="21"/>
      <c r="E31" s="21"/>
      <c r="F31" s="21"/>
      <c r="G31" s="21"/>
      <c r="H31" s="21"/>
      <c r="I31" s="21"/>
      <c r="J31" s="21"/>
      <c r="K31" s="21"/>
      <c r="L31" s="21"/>
      <c r="M31" s="21"/>
      <c r="N31" s="21"/>
      <c r="O31" s="21"/>
      <c r="P31" s="21"/>
      <c r="Q31" s="21"/>
    </row>
    <row r="32" spans="1:17" x14ac:dyDescent="0.3">
      <c r="A32" s="21"/>
      <c r="B32" s="21"/>
      <c r="C32" s="21"/>
      <c r="D32" s="21"/>
      <c r="E32" s="21"/>
      <c r="F32" s="21"/>
      <c r="G32" s="21"/>
      <c r="H32" s="21"/>
      <c r="I32" s="21"/>
      <c r="J32" s="21"/>
      <c r="K32" s="21"/>
      <c r="L32" s="21"/>
      <c r="M32" s="21"/>
      <c r="N32" s="21"/>
      <c r="O32" s="21"/>
      <c r="P32" s="21"/>
      <c r="Q32" s="21"/>
    </row>
    <row r="33" spans="1:17" x14ac:dyDescent="0.3">
      <c r="A33" s="21"/>
      <c r="B33" s="21"/>
      <c r="C33" s="21"/>
      <c r="D33" s="21"/>
      <c r="E33" s="21"/>
      <c r="F33" s="21"/>
      <c r="G33" s="21"/>
      <c r="H33" s="21"/>
      <c r="I33" s="21"/>
      <c r="J33" s="21"/>
      <c r="K33" s="21"/>
      <c r="L33" s="21"/>
      <c r="M33" s="21"/>
      <c r="N33" s="21"/>
      <c r="O33" s="21"/>
      <c r="P33" s="21"/>
      <c r="Q33" s="21"/>
    </row>
    <row r="34" spans="1:17" x14ac:dyDescent="0.3">
      <c r="A34" s="21"/>
      <c r="B34" s="21"/>
      <c r="C34" s="21"/>
      <c r="D34" s="21"/>
      <c r="E34" s="21"/>
      <c r="F34" s="21"/>
      <c r="G34" s="21"/>
      <c r="H34" s="21"/>
      <c r="I34" s="21"/>
      <c r="J34" s="21"/>
      <c r="K34" s="21"/>
      <c r="L34" s="21"/>
      <c r="M34" s="21"/>
      <c r="N34" s="21"/>
      <c r="O34" s="21"/>
      <c r="P34" s="21"/>
      <c r="Q34" s="21"/>
    </row>
    <row r="35" spans="1:17" x14ac:dyDescent="0.3">
      <c r="A35" s="21"/>
      <c r="B35" s="21"/>
      <c r="C35" s="21"/>
      <c r="D35" s="21"/>
      <c r="E35" s="21"/>
      <c r="F35" s="21"/>
      <c r="G35" s="21"/>
      <c r="H35" s="21"/>
      <c r="I35" s="21"/>
      <c r="J35" s="21"/>
      <c r="K35" s="21"/>
      <c r="L35" s="21"/>
      <c r="M35" s="21"/>
      <c r="N35" s="21"/>
      <c r="O35" s="21"/>
      <c r="P35" s="21"/>
      <c r="Q35" s="21"/>
    </row>
    <row r="36" spans="1:17" x14ac:dyDescent="0.3">
      <c r="A36" s="21"/>
      <c r="B36" s="21"/>
      <c r="C36" s="21"/>
      <c r="D36" s="21"/>
      <c r="E36" s="21"/>
      <c r="F36" s="21"/>
      <c r="G36" s="21"/>
      <c r="H36" s="21"/>
      <c r="I36" s="21"/>
      <c r="J36" s="21"/>
      <c r="K36" s="21"/>
      <c r="L36" s="21"/>
      <c r="M36" s="21"/>
      <c r="N36" s="21"/>
      <c r="O36" s="21"/>
      <c r="P36" s="21"/>
      <c r="Q36" s="21"/>
    </row>
    <row r="37" spans="1:17" x14ac:dyDescent="0.3">
      <c r="A37" s="21"/>
      <c r="B37" s="21"/>
      <c r="C37" s="21"/>
      <c r="D37" s="21"/>
      <c r="E37" s="21"/>
      <c r="F37" s="21"/>
      <c r="G37" s="21"/>
      <c r="H37" s="21"/>
      <c r="I37" s="21"/>
      <c r="J37" s="21"/>
      <c r="K37" s="21"/>
      <c r="L37" s="21"/>
      <c r="M37" s="21"/>
      <c r="N37" s="21"/>
      <c r="O37" s="21"/>
      <c r="P37" s="21"/>
      <c r="Q37" s="21"/>
    </row>
    <row r="38" spans="1:17" x14ac:dyDescent="0.3">
      <c r="A38" s="21"/>
      <c r="B38" s="21"/>
      <c r="C38" s="21"/>
      <c r="D38" s="21"/>
      <c r="E38" s="21"/>
      <c r="F38" s="21"/>
      <c r="G38" s="21"/>
      <c r="H38" s="21"/>
      <c r="I38" s="21"/>
      <c r="J38" s="21"/>
      <c r="K38" s="21"/>
      <c r="L38" s="21"/>
      <c r="M38" s="21"/>
      <c r="N38" s="21"/>
      <c r="O38" s="21"/>
      <c r="P38" s="21"/>
      <c r="Q38" s="21"/>
    </row>
    <row r="39" spans="1:17" x14ac:dyDescent="0.3">
      <c r="A39" s="21"/>
      <c r="B39" s="21"/>
      <c r="C39" s="21"/>
      <c r="D39" s="21"/>
      <c r="E39" s="21"/>
      <c r="F39" s="21"/>
      <c r="G39" s="21"/>
      <c r="H39" s="21"/>
      <c r="I39" s="21"/>
      <c r="J39" s="21"/>
      <c r="K39" s="21"/>
      <c r="L39" s="21"/>
      <c r="M39" s="21"/>
      <c r="N39" s="21"/>
      <c r="O39" s="21"/>
      <c r="P39" s="21"/>
      <c r="Q39" s="21"/>
    </row>
    <row r="40" spans="1:17" x14ac:dyDescent="0.3">
      <c r="A40" s="21"/>
      <c r="B40" s="21"/>
      <c r="C40" s="21"/>
      <c r="D40" s="21"/>
      <c r="E40" s="21"/>
      <c r="F40" s="21"/>
      <c r="G40" s="21"/>
      <c r="H40" s="21"/>
      <c r="I40" s="21"/>
      <c r="J40" s="21"/>
      <c r="K40" s="21"/>
      <c r="L40" s="21"/>
      <c r="M40" s="21"/>
      <c r="N40" s="21"/>
      <c r="O40" s="21"/>
      <c r="P40" s="21"/>
      <c r="Q40" s="21"/>
    </row>
    <row r="41" spans="1:17" x14ac:dyDescent="0.3">
      <c r="A41" s="7"/>
      <c r="B41" s="7"/>
      <c r="C41" s="7"/>
      <c r="D41" s="7"/>
      <c r="E41" s="7"/>
      <c r="F41" s="7"/>
      <c r="G41" s="7"/>
      <c r="H41" s="7"/>
      <c r="I41" s="7"/>
      <c r="J41" s="7"/>
      <c r="K41" s="7"/>
      <c r="L41" s="7"/>
      <c r="M41" s="7"/>
      <c r="N41" s="7"/>
      <c r="O41" s="7"/>
      <c r="P41" s="7"/>
    </row>
    <row r="42" spans="1:17" x14ac:dyDescent="0.3">
      <c r="A42" s="7"/>
      <c r="B42" s="7"/>
      <c r="C42" s="7"/>
      <c r="D42" s="7"/>
      <c r="E42" s="7"/>
      <c r="F42" s="7"/>
      <c r="G42" s="7"/>
      <c r="H42" s="7"/>
      <c r="I42" s="7"/>
      <c r="J42" s="7"/>
      <c r="K42" s="7"/>
      <c r="L42" s="7"/>
      <c r="M42" s="7"/>
      <c r="N42" s="7"/>
      <c r="O42" s="7"/>
      <c r="P42" s="7"/>
    </row>
    <row r="43" spans="1:17" x14ac:dyDescent="0.3">
      <c r="A43" s="7"/>
      <c r="B43" s="7"/>
      <c r="C43" s="7"/>
      <c r="D43" s="7"/>
      <c r="E43" s="7"/>
      <c r="F43" s="7"/>
      <c r="G43" s="7"/>
      <c r="H43" s="7"/>
      <c r="I43" s="7"/>
      <c r="J43" s="7"/>
      <c r="K43" s="7"/>
      <c r="L43" s="7"/>
      <c r="M43" s="7"/>
      <c r="N43" s="7"/>
      <c r="O43" s="7"/>
    </row>
    <row r="44" spans="1:17" x14ac:dyDescent="0.3">
      <c r="A44" s="7"/>
      <c r="B44" s="7"/>
      <c r="C44" s="7"/>
      <c r="D44" s="7"/>
      <c r="E44" s="7"/>
      <c r="F44" s="7"/>
      <c r="G44" s="7"/>
      <c r="H44" s="7"/>
      <c r="I44" s="7"/>
      <c r="J44" s="7"/>
      <c r="K44" s="7"/>
      <c r="L44" s="7"/>
      <c r="M44" s="7"/>
      <c r="N44" s="7"/>
      <c r="O44" s="7"/>
    </row>
  </sheetData>
  <mergeCells count="8">
    <mergeCell ref="I7:K9"/>
    <mergeCell ref="M7:O9"/>
    <mergeCell ref="M6:O6"/>
    <mergeCell ref="A2:Q2"/>
    <mergeCell ref="A3:Q3"/>
    <mergeCell ref="E7:G9"/>
    <mergeCell ref="E6:G6"/>
    <mergeCell ref="I6:K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AA4F1-C07F-4A3B-AA4F-9BD76D98B654}">
  <dimension ref="A3:M9"/>
  <sheetViews>
    <sheetView zoomScale="63" workbookViewId="0">
      <selection activeCell="H41" sqref="H41"/>
    </sheetView>
  </sheetViews>
  <sheetFormatPr defaultRowHeight="14.4" x14ac:dyDescent="0.3"/>
  <cols>
    <col min="1" max="1" width="14.5546875" bestFit="1" customWidth="1"/>
    <col min="2" max="2" width="19.5546875" bestFit="1" customWidth="1"/>
    <col min="7" max="7" width="14.5546875" bestFit="1" customWidth="1"/>
    <col min="8" max="8" width="32.21875" bestFit="1" customWidth="1"/>
    <col min="12" max="12" width="14.5546875" bestFit="1" customWidth="1"/>
    <col min="13" max="13" width="28.88671875" bestFit="1" customWidth="1"/>
  </cols>
  <sheetData>
    <row r="3" spans="1:13" x14ac:dyDescent="0.3">
      <c r="A3" s="2" t="s">
        <v>9</v>
      </c>
      <c r="B3" t="s">
        <v>11</v>
      </c>
      <c r="G3" s="2" t="s">
        <v>9</v>
      </c>
      <c r="H3" t="s">
        <v>17</v>
      </c>
      <c r="L3" s="2" t="s">
        <v>9</v>
      </c>
      <c r="M3" t="s">
        <v>21</v>
      </c>
    </row>
    <row r="4" spans="1:13" x14ac:dyDescent="0.3">
      <c r="A4" s="3" t="s">
        <v>8</v>
      </c>
      <c r="B4" s="4">
        <v>112</v>
      </c>
      <c r="G4" s="3" t="s">
        <v>12</v>
      </c>
      <c r="H4" s="5">
        <v>56.25714285714286</v>
      </c>
      <c r="L4" s="3" t="s">
        <v>18</v>
      </c>
      <c r="M4" s="5">
        <v>87</v>
      </c>
    </row>
    <row r="5" spans="1:13" x14ac:dyDescent="0.3">
      <c r="A5" s="3" t="s">
        <v>7</v>
      </c>
      <c r="B5" s="4">
        <v>88</v>
      </c>
      <c r="G5" s="3" t="s">
        <v>13</v>
      </c>
      <c r="H5" s="5">
        <v>63.166666666666664</v>
      </c>
      <c r="L5" s="3" t="s">
        <v>20</v>
      </c>
      <c r="M5" s="5">
        <v>55</v>
      </c>
    </row>
    <row r="6" spans="1:13" x14ac:dyDescent="0.3">
      <c r="A6" s="3" t="s">
        <v>10</v>
      </c>
      <c r="B6" s="4">
        <v>200</v>
      </c>
      <c r="G6" s="3" t="s">
        <v>14</v>
      </c>
      <c r="H6" s="5">
        <v>49.428571428571431</v>
      </c>
      <c r="L6" s="3" t="s">
        <v>19</v>
      </c>
      <c r="M6" s="5">
        <v>26.304347826086957</v>
      </c>
    </row>
    <row r="7" spans="1:13" x14ac:dyDescent="0.3">
      <c r="G7" s="3" t="s">
        <v>15</v>
      </c>
      <c r="H7" s="5">
        <v>36.230769230769234</v>
      </c>
      <c r="L7" s="3" t="s">
        <v>10</v>
      </c>
      <c r="M7" s="4">
        <v>60.56</v>
      </c>
    </row>
    <row r="8" spans="1:13" x14ac:dyDescent="0.3">
      <c r="G8" s="3" t="s">
        <v>16</v>
      </c>
      <c r="H8" s="5">
        <v>39.033333333333331</v>
      </c>
    </row>
    <row r="9" spans="1:13" x14ac:dyDescent="0.3">
      <c r="G9" s="3" t="s">
        <v>10</v>
      </c>
      <c r="H9" s="4">
        <v>50.2</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workbookViewId="0">
      <selection activeCell="A2" sqref="A2"/>
    </sheetView>
  </sheetViews>
  <sheetFormatPr defaultRowHeight="14.4" x14ac:dyDescent="0.3"/>
  <cols>
    <col min="1" max="7" width="24" customWidth="1"/>
  </cols>
  <sheetData>
    <row r="1" spans="1:7" x14ac:dyDescent="0.3">
      <c r="A1" s="1" t="s">
        <v>0</v>
      </c>
      <c r="B1" s="1" t="s">
        <v>1</v>
      </c>
      <c r="C1" s="1" t="s">
        <v>2</v>
      </c>
      <c r="D1" s="1" t="s">
        <v>3</v>
      </c>
      <c r="E1" s="1" t="s">
        <v>4</v>
      </c>
      <c r="F1" s="1" t="s">
        <v>5</v>
      </c>
      <c r="G1" s="1" t="s">
        <v>6</v>
      </c>
    </row>
    <row r="2" spans="1:7" x14ac:dyDescent="0.3">
      <c r="A2">
        <v>1</v>
      </c>
      <c r="B2" t="s">
        <v>7</v>
      </c>
      <c r="C2">
        <v>19</v>
      </c>
      <c r="D2">
        <v>15</v>
      </c>
      <c r="E2">
        <v>39</v>
      </c>
      <c r="F2" t="str">
        <f>IF(C2&lt;25,"&lt;25",IF(C2&lt;35,"25-34",IF(C2&lt;45,"35-44",IF(C2&lt;55,"45-54","55+"))))</f>
        <v>&lt;25</v>
      </c>
      <c r="G2" t="str">
        <f>IF(D2&lt;40,"Low",IF(D2&lt;70,"Medium","High"))</f>
        <v>Low</v>
      </c>
    </row>
    <row r="3" spans="1:7" x14ac:dyDescent="0.3">
      <c r="A3">
        <v>2</v>
      </c>
      <c r="B3" t="s">
        <v>7</v>
      </c>
      <c r="C3">
        <v>21</v>
      </c>
      <c r="D3">
        <v>15</v>
      </c>
      <c r="E3">
        <v>81</v>
      </c>
      <c r="F3" t="str">
        <f t="shared" ref="F3:F66" si="0">IF(C3&lt;25,"&lt;25",IF(C3&lt;35,"25-34",IF(C3&lt;45,"35-44",IF(C3&lt;55,"45-54","55+"))))</f>
        <v>&lt;25</v>
      </c>
      <c r="G3" t="str">
        <f t="shared" ref="G3:G66" si="1">IF(D3&lt;40,"Low",IF(D3&lt;70,"Medium","High"))</f>
        <v>Low</v>
      </c>
    </row>
    <row r="4" spans="1:7" x14ac:dyDescent="0.3">
      <c r="A4">
        <v>3</v>
      </c>
      <c r="B4" t="s">
        <v>8</v>
      </c>
      <c r="C4">
        <v>20</v>
      </c>
      <c r="D4">
        <v>16</v>
      </c>
      <c r="E4">
        <v>6</v>
      </c>
      <c r="F4" t="str">
        <f t="shared" si="0"/>
        <v>&lt;25</v>
      </c>
      <c r="G4" t="str">
        <f t="shared" si="1"/>
        <v>Low</v>
      </c>
    </row>
    <row r="5" spans="1:7" x14ac:dyDescent="0.3">
      <c r="A5">
        <v>4</v>
      </c>
      <c r="B5" t="s">
        <v>8</v>
      </c>
      <c r="C5">
        <v>23</v>
      </c>
      <c r="D5">
        <v>16</v>
      </c>
      <c r="E5">
        <v>77</v>
      </c>
      <c r="F5" t="str">
        <f t="shared" si="0"/>
        <v>&lt;25</v>
      </c>
      <c r="G5" t="str">
        <f t="shared" si="1"/>
        <v>Low</v>
      </c>
    </row>
    <row r="6" spans="1:7" x14ac:dyDescent="0.3">
      <c r="A6">
        <v>5</v>
      </c>
      <c r="B6" t="s">
        <v>8</v>
      </c>
      <c r="C6">
        <v>31</v>
      </c>
      <c r="D6">
        <v>17</v>
      </c>
      <c r="E6">
        <v>40</v>
      </c>
      <c r="F6" t="str">
        <f t="shared" si="0"/>
        <v>25-34</v>
      </c>
      <c r="G6" t="str">
        <f t="shared" si="1"/>
        <v>Low</v>
      </c>
    </row>
    <row r="7" spans="1:7" x14ac:dyDescent="0.3">
      <c r="A7">
        <v>6</v>
      </c>
      <c r="B7" t="s">
        <v>8</v>
      </c>
      <c r="C7">
        <v>22</v>
      </c>
      <c r="D7">
        <v>17</v>
      </c>
      <c r="E7">
        <v>76</v>
      </c>
      <c r="F7" t="str">
        <f t="shared" si="0"/>
        <v>&lt;25</v>
      </c>
      <c r="G7" t="str">
        <f t="shared" si="1"/>
        <v>Low</v>
      </c>
    </row>
    <row r="8" spans="1:7" x14ac:dyDescent="0.3">
      <c r="A8">
        <v>7</v>
      </c>
      <c r="B8" t="s">
        <v>8</v>
      </c>
      <c r="C8">
        <v>35</v>
      </c>
      <c r="D8">
        <v>18</v>
      </c>
      <c r="E8">
        <v>6</v>
      </c>
      <c r="F8" t="str">
        <f t="shared" si="0"/>
        <v>35-44</v>
      </c>
      <c r="G8" t="str">
        <f t="shared" si="1"/>
        <v>Low</v>
      </c>
    </row>
    <row r="9" spans="1:7" x14ac:dyDescent="0.3">
      <c r="A9">
        <v>8</v>
      </c>
      <c r="B9" t="s">
        <v>8</v>
      </c>
      <c r="C9">
        <v>23</v>
      </c>
      <c r="D9">
        <v>18</v>
      </c>
      <c r="E9">
        <v>94</v>
      </c>
      <c r="F9" t="str">
        <f t="shared" si="0"/>
        <v>&lt;25</v>
      </c>
      <c r="G9" t="str">
        <f t="shared" si="1"/>
        <v>Low</v>
      </c>
    </row>
    <row r="10" spans="1:7" x14ac:dyDescent="0.3">
      <c r="A10">
        <v>9</v>
      </c>
      <c r="B10" t="s">
        <v>7</v>
      </c>
      <c r="C10">
        <v>64</v>
      </c>
      <c r="D10">
        <v>19</v>
      </c>
      <c r="E10">
        <v>3</v>
      </c>
      <c r="F10" t="str">
        <f t="shared" si="0"/>
        <v>55+</v>
      </c>
      <c r="G10" t="str">
        <f t="shared" si="1"/>
        <v>Low</v>
      </c>
    </row>
    <row r="11" spans="1:7" x14ac:dyDescent="0.3">
      <c r="A11">
        <v>10</v>
      </c>
      <c r="B11" t="s">
        <v>8</v>
      </c>
      <c r="C11">
        <v>30</v>
      </c>
      <c r="D11">
        <v>19</v>
      </c>
      <c r="E11">
        <v>72</v>
      </c>
      <c r="F11" t="str">
        <f t="shared" si="0"/>
        <v>25-34</v>
      </c>
      <c r="G11" t="str">
        <f t="shared" si="1"/>
        <v>Low</v>
      </c>
    </row>
    <row r="12" spans="1:7" x14ac:dyDescent="0.3">
      <c r="A12">
        <v>11</v>
      </c>
      <c r="B12" t="s">
        <v>7</v>
      </c>
      <c r="C12">
        <v>67</v>
      </c>
      <c r="D12">
        <v>19</v>
      </c>
      <c r="E12">
        <v>14</v>
      </c>
      <c r="F12" t="str">
        <f t="shared" si="0"/>
        <v>55+</v>
      </c>
      <c r="G12" t="str">
        <f t="shared" si="1"/>
        <v>Low</v>
      </c>
    </row>
    <row r="13" spans="1:7" x14ac:dyDescent="0.3">
      <c r="A13">
        <v>12</v>
      </c>
      <c r="B13" t="s">
        <v>8</v>
      </c>
      <c r="C13">
        <v>35</v>
      </c>
      <c r="D13">
        <v>19</v>
      </c>
      <c r="E13">
        <v>99</v>
      </c>
      <c r="F13" t="str">
        <f t="shared" si="0"/>
        <v>35-44</v>
      </c>
      <c r="G13" t="str">
        <f t="shared" si="1"/>
        <v>Low</v>
      </c>
    </row>
    <row r="14" spans="1:7" x14ac:dyDescent="0.3">
      <c r="A14">
        <v>13</v>
      </c>
      <c r="B14" t="s">
        <v>8</v>
      </c>
      <c r="C14">
        <v>58</v>
      </c>
      <c r="D14">
        <v>20</v>
      </c>
      <c r="E14">
        <v>15</v>
      </c>
      <c r="F14" t="str">
        <f t="shared" si="0"/>
        <v>55+</v>
      </c>
      <c r="G14" t="str">
        <f t="shared" si="1"/>
        <v>Low</v>
      </c>
    </row>
    <row r="15" spans="1:7" x14ac:dyDescent="0.3">
      <c r="A15">
        <v>14</v>
      </c>
      <c r="B15" t="s">
        <v>8</v>
      </c>
      <c r="C15">
        <v>24</v>
      </c>
      <c r="D15">
        <v>20</v>
      </c>
      <c r="E15">
        <v>77</v>
      </c>
      <c r="F15" t="str">
        <f t="shared" si="0"/>
        <v>&lt;25</v>
      </c>
      <c r="G15" t="str">
        <f t="shared" si="1"/>
        <v>Low</v>
      </c>
    </row>
    <row r="16" spans="1:7" x14ac:dyDescent="0.3">
      <c r="A16">
        <v>15</v>
      </c>
      <c r="B16" t="s">
        <v>7</v>
      </c>
      <c r="C16">
        <v>37</v>
      </c>
      <c r="D16">
        <v>20</v>
      </c>
      <c r="E16">
        <v>13</v>
      </c>
      <c r="F16" t="str">
        <f t="shared" si="0"/>
        <v>35-44</v>
      </c>
      <c r="G16" t="str">
        <f t="shared" si="1"/>
        <v>Low</v>
      </c>
    </row>
    <row r="17" spans="1:7" x14ac:dyDescent="0.3">
      <c r="A17">
        <v>16</v>
      </c>
      <c r="B17" t="s">
        <v>7</v>
      </c>
      <c r="C17">
        <v>22</v>
      </c>
      <c r="D17">
        <v>20</v>
      </c>
      <c r="E17">
        <v>79</v>
      </c>
      <c r="F17" t="str">
        <f t="shared" si="0"/>
        <v>&lt;25</v>
      </c>
      <c r="G17" t="str">
        <f t="shared" si="1"/>
        <v>Low</v>
      </c>
    </row>
    <row r="18" spans="1:7" x14ac:dyDescent="0.3">
      <c r="A18">
        <v>17</v>
      </c>
      <c r="B18" t="s">
        <v>8</v>
      </c>
      <c r="C18">
        <v>35</v>
      </c>
      <c r="D18">
        <v>21</v>
      </c>
      <c r="E18">
        <v>35</v>
      </c>
      <c r="F18" t="str">
        <f t="shared" si="0"/>
        <v>35-44</v>
      </c>
      <c r="G18" t="str">
        <f t="shared" si="1"/>
        <v>Low</v>
      </c>
    </row>
    <row r="19" spans="1:7" x14ac:dyDescent="0.3">
      <c r="A19">
        <v>18</v>
      </c>
      <c r="B19" t="s">
        <v>7</v>
      </c>
      <c r="C19">
        <v>20</v>
      </c>
      <c r="D19">
        <v>21</v>
      </c>
      <c r="E19">
        <v>66</v>
      </c>
      <c r="F19" t="str">
        <f t="shared" si="0"/>
        <v>&lt;25</v>
      </c>
      <c r="G19" t="str">
        <f t="shared" si="1"/>
        <v>Low</v>
      </c>
    </row>
    <row r="20" spans="1:7" x14ac:dyDescent="0.3">
      <c r="A20">
        <v>19</v>
      </c>
      <c r="B20" t="s">
        <v>7</v>
      </c>
      <c r="C20">
        <v>52</v>
      </c>
      <c r="D20">
        <v>23</v>
      </c>
      <c r="E20">
        <v>29</v>
      </c>
      <c r="F20" t="str">
        <f t="shared" si="0"/>
        <v>45-54</v>
      </c>
      <c r="G20" t="str">
        <f t="shared" si="1"/>
        <v>Low</v>
      </c>
    </row>
    <row r="21" spans="1:7" x14ac:dyDescent="0.3">
      <c r="A21">
        <v>20</v>
      </c>
      <c r="B21" t="s">
        <v>8</v>
      </c>
      <c r="C21">
        <v>35</v>
      </c>
      <c r="D21">
        <v>23</v>
      </c>
      <c r="E21">
        <v>98</v>
      </c>
      <c r="F21" t="str">
        <f t="shared" si="0"/>
        <v>35-44</v>
      </c>
      <c r="G21" t="str">
        <f t="shared" si="1"/>
        <v>Low</v>
      </c>
    </row>
    <row r="22" spans="1:7" x14ac:dyDescent="0.3">
      <c r="A22">
        <v>21</v>
      </c>
      <c r="B22" t="s">
        <v>7</v>
      </c>
      <c r="C22">
        <v>35</v>
      </c>
      <c r="D22">
        <v>24</v>
      </c>
      <c r="E22">
        <v>35</v>
      </c>
      <c r="F22" t="str">
        <f t="shared" si="0"/>
        <v>35-44</v>
      </c>
      <c r="G22" t="str">
        <f t="shared" si="1"/>
        <v>Low</v>
      </c>
    </row>
    <row r="23" spans="1:7" x14ac:dyDescent="0.3">
      <c r="A23">
        <v>22</v>
      </c>
      <c r="B23" t="s">
        <v>7</v>
      </c>
      <c r="C23">
        <v>25</v>
      </c>
      <c r="D23">
        <v>24</v>
      </c>
      <c r="E23">
        <v>73</v>
      </c>
      <c r="F23" t="str">
        <f t="shared" si="0"/>
        <v>25-34</v>
      </c>
      <c r="G23" t="str">
        <f t="shared" si="1"/>
        <v>Low</v>
      </c>
    </row>
    <row r="24" spans="1:7" x14ac:dyDescent="0.3">
      <c r="A24">
        <v>23</v>
      </c>
      <c r="B24" t="s">
        <v>8</v>
      </c>
      <c r="C24">
        <v>46</v>
      </c>
      <c r="D24">
        <v>25</v>
      </c>
      <c r="E24">
        <v>5</v>
      </c>
      <c r="F24" t="str">
        <f t="shared" si="0"/>
        <v>45-54</v>
      </c>
      <c r="G24" t="str">
        <f t="shared" si="1"/>
        <v>Low</v>
      </c>
    </row>
    <row r="25" spans="1:7" x14ac:dyDescent="0.3">
      <c r="A25">
        <v>24</v>
      </c>
      <c r="B25" t="s">
        <v>7</v>
      </c>
      <c r="C25">
        <v>31</v>
      </c>
      <c r="D25">
        <v>25</v>
      </c>
      <c r="E25">
        <v>73</v>
      </c>
      <c r="F25" t="str">
        <f t="shared" si="0"/>
        <v>25-34</v>
      </c>
      <c r="G25" t="str">
        <f t="shared" si="1"/>
        <v>Low</v>
      </c>
    </row>
    <row r="26" spans="1:7" x14ac:dyDescent="0.3">
      <c r="A26">
        <v>25</v>
      </c>
      <c r="B26" t="s">
        <v>8</v>
      </c>
      <c r="C26">
        <v>54</v>
      </c>
      <c r="D26">
        <v>28</v>
      </c>
      <c r="E26">
        <v>14</v>
      </c>
      <c r="F26" t="str">
        <f t="shared" si="0"/>
        <v>45-54</v>
      </c>
      <c r="G26" t="str">
        <f t="shared" si="1"/>
        <v>Low</v>
      </c>
    </row>
    <row r="27" spans="1:7" x14ac:dyDescent="0.3">
      <c r="A27">
        <v>26</v>
      </c>
      <c r="B27" t="s">
        <v>7</v>
      </c>
      <c r="C27">
        <v>29</v>
      </c>
      <c r="D27">
        <v>28</v>
      </c>
      <c r="E27">
        <v>82</v>
      </c>
      <c r="F27" t="str">
        <f t="shared" si="0"/>
        <v>25-34</v>
      </c>
      <c r="G27" t="str">
        <f t="shared" si="1"/>
        <v>Low</v>
      </c>
    </row>
    <row r="28" spans="1:7" x14ac:dyDescent="0.3">
      <c r="A28">
        <v>27</v>
      </c>
      <c r="B28" t="s">
        <v>8</v>
      </c>
      <c r="C28">
        <v>45</v>
      </c>
      <c r="D28">
        <v>28</v>
      </c>
      <c r="E28">
        <v>32</v>
      </c>
      <c r="F28" t="str">
        <f t="shared" si="0"/>
        <v>45-54</v>
      </c>
      <c r="G28" t="str">
        <f t="shared" si="1"/>
        <v>Low</v>
      </c>
    </row>
    <row r="29" spans="1:7" x14ac:dyDescent="0.3">
      <c r="A29">
        <v>28</v>
      </c>
      <c r="B29" t="s">
        <v>7</v>
      </c>
      <c r="C29">
        <v>35</v>
      </c>
      <c r="D29">
        <v>28</v>
      </c>
      <c r="E29">
        <v>61</v>
      </c>
      <c r="F29" t="str">
        <f t="shared" si="0"/>
        <v>35-44</v>
      </c>
      <c r="G29" t="str">
        <f t="shared" si="1"/>
        <v>Low</v>
      </c>
    </row>
    <row r="30" spans="1:7" x14ac:dyDescent="0.3">
      <c r="A30">
        <v>29</v>
      </c>
      <c r="B30" t="s">
        <v>8</v>
      </c>
      <c r="C30">
        <v>40</v>
      </c>
      <c r="D30">
        <v>29</v>
      </c>
      <c r="E30">
        <v>31</v>
      </c>
      <c r="F30" t="str">
        <f t="shared" si="0"/>
        <v>35-44</v>
      </c>
      <c r="G30" t="str">
        <f t="shared" si="1"/>
        <v>Low</v>
      </c>
    </row>
    <row r="31" spans="1:7" x14ac:dyDescent="0.3">
      <c r="A31">
        <v>30</v>
      </c>
      <c r="B31" t="s">
        <v>8</v>
      </c>
      <c r="C31">
        <v>23</v>
      </c>
      <c r="D31">
        <v>29</v>
      </c>
      <c r="E31">
        <v>87</v>
      </c>
      <c r="F31" t="str">
        <f t="shared" si="0"/>
        <v>&lt;25</v>
      </c>
      <c r="G31" t="str">
        <f t="shared" si="1"/>
        <v>Low</v>
      </c>
    </row>
    <row r="32" spans="1:7" x14ac:dyDescent="0.3">
      <c r="A32">
        <v>31</v>
      </c>
      <c r="B32" t="s">
        <v>7</v>
      </c>
      <c r="C32">
        <v>60</v>
      </c>
      <c r="D32">
        <v>30</v>
      </c>
      <c r="E32">
        <v>4</v>
      </c>
      <c r="F32" t="str">
        <f t="shared" si="0"/>
        <v>55+</v>
      </c>
      <c r="G32" t="str">
        <f t="shared" si="1"/>
        <v>Low</v>
      </c>
    </row>
    <row r="33" spans="1:7" x14ac:dyDescent="0.3">
      <c r="A33">
        <v>32</v>
      </c>
      <c r="B33" t="s">
        <v>8</v>
      </c>
      <c r="C33">
        <v>21</v>
      </c>
      <c r="D33">
        <v>30</v>
      </c>
      <c r="E33">
        <v>73</v>
      </c>
      <c r="F33" t="str">
        <f t="shared" si="0"/>
        <v>&lt;25</v>
      </c>
      <c r="G33" t="str">
        <f t="shared" si="1"/>
        <v>Low</v>
      </c>
    </row>
    <row r="34" spans="1:7" x14ac:dyDescent="0.3">
      <c r="A34">
        <v>33</v>
      </c>
      <c r="B34" t="s">
        <v>7</v>
      </c>
      <c r="C34">
        <v>53</v>
      </c>
      <c r="D34">
        <v>33</v>
      </c>
      <c r="E34">
        <v>4</v>
      </c>
      <c r="F34" t="str">
        <f t="shared" si="0"/>
        <v>45-54</v>
      </c>
      <c r="G34" t="str">
        <f t="shared" si="1"/>
        <v>Low</v>
      </c>
    </row>
    <row r="35" spans="1:7" x14ac:dyDescent="0.3">
      <c r="A35">
        <v>34</v>
      </c>
      <c r="B35" t="s">
        <v>7</v>
      </c>
      <c r="C35">
        <v>18</v>
      </c>
      <c r="D35">
        <v>33</v>
      </c>
      <c r="E35">
        <v>92</v>
      </c>
      <c r="F35" t="str">
        <f t="shared" si="0"/>
        <v>&lt;25</v>
      </c>
      <c r="G35" t="str">
        <f t="shared" si="1"/>
        <v>Low</v>
      </c>
    </row>
    <row r="36" spans="1:7" x14ac:dyDescent="0.3">
      <c r="A36">
        <v>35</v>
      </c>
      <c r="B36" t="s">
        <v>8</v>
      </c>
      <c r="C36">
        <v>49</v>
      </c>
      <c r="D36">
        <v>33</v>
      </c>
      <c r="E36">
        <v>14</v>
      </c>
      <c r="F36" t="str">
        <f t="shared" si="0"/>
        <v>45-54</v>
      </c>
      <c r="G36" t="str">
        <f t="shared" si="1"/>
        <v>Low</v>
      </c>
    </row>
    <row r="37" spans="1:7" x14ac:dyDescent="0.3">
      <c r="A37">
        <v>36</v>
      </c>
      <c r="B37" t="s">
        <v>8</v>
      </c>
      <c r="C37">
        <v>21</v>
      </c>
      <c r="D37">
        <v>33</v>
      </c>
      <c r="E37">
        <v>81</v>
      </c>
      <c r="F37" t="str">
        <f t="shared" si="0"/>
        <v>&lt;25</v>
      </c>
      <c r="G37" t="str">
        <f t="shared" si="1"/>
        <v>Low</v>
      </c>
    </row>
    <row r="38" spans="1:7" x14ac:dyDescent="0.3">
      <c r="A38">
        <v>37</v>
      </c>
      <c r="B38" t="s">
        <v>8</v>
      </c>
      <c r="C38">
        <v>42</v>
      </c>
      <c r="D38">
        <v>34</v>
      </c>
      <c r="E38">
        <v>17</v>
      </c>
      <c r="F38" t="str">
        <f t="shared" si="0"/>
        <v>35-44</v>
      </c>
      <c r="G38" t="str">
        <f t="shared" si="1"/>
        <v>Low</v>
      </c>
    </row>
    <row r="39" spans="1:7" x14ac:dyDescent="0.3">
      <c r="A39">
        <v>38</v>
      </c>
      <c r="B39" t="s">
        <v>8</v>
      </c>
      <c r="C39">
        <v>30</v>
      </c>
      <c r="D39">
        <v>34</v>
      </c>
      <c r="E39">
        <v>73</v>
      </c>
      <c r="F39" t="str">
        <f t="shared" si="0"/>
        <v>25-34</v>
      </c>
      <c r="G39" t="str">
        <f t="shared" si="1"/>
        <v>Low</v>
      </c>
    </row>
    <row r="40" spans="1:7" x14ac:dyDescent="0.3">
      <c r="A40">
        <v>39</v>
      </c>
      <c r="B40" t="s">
        <v>8</v>
      </c>
      <c r="C40">
        <v>36</v>
      </c>
      <c r="D40">
        <v>37</v>
      </c>
      <c r="E40">
        <v>26</v>
      </c>
      <c r="F40" t="str">
        <f t="shared" si="0"/>
        <v>35-44</v>
      </c>
      <c r="G40" t="str">
        <f t="shared" si="1"/>
        <v>Low</v>
      </c>
    </row>
    <row r="41" spans="1:7" x14ac:dyDescent="0.3">
      <c r="A41">
        <v>40</v>
      </c>
      <c r="B41" t="s">
        <v>8</v>
      </c>
      <c r="C41">
        <v>20</v>
      </c>
      <c r="D41">
        <v>37</v>
      </c>
      <c r="E41">
        <v>75</v>
      </c>
      <c r="F41" t="str">
        <f t="shared" si="0"/>
        <v>&lt;25</v>
      </c>
      <c r="G41" t="str">
        <f t="shared" si="1"/>
        <v>Low</v>
      </c>
    </row>
    <row r="42" spans="1:7" x14ac:dyDescent="0.3">
      <c r="A42">
        <v>41</v>
      </c>
      <c r="B42" t="s">
        <v>8</v>
      </c>
      <c r="C42">
        <v>65</v>
      </c>
      <c r="D42">
        <v>38</v>
      </c>
      <c r="E42">
        <v>35</v>
      </c>
      <c r="F42" t="str">
        <f t="shared" si="0"/>
        <v>55+</v>
      </c>
      <c r="G42" t="str">
        <f t="shared" si="1"/>
        <v>Low</v>
      </c>
    </row>
    <row r="43" spans="1:7" x14ac:dyDescent="0.3">
      <c r="A43">
        <v>42</v>
      </c>
      <c r="B43" t="s">
        <v>7</v>
      </c>
      <c r="C43">
        <v>24</v>
      </c>
      <c r="D43">
        <v>38</v>
      </c>
      <c r="E43">
        <v>92</v>
      </c>
      <c r="F43" t="str">
        <f t="shared" si="0"/>
        <v>&lt;25</v>
      </c>
      <c r="G43" t="str">
        <f t="shared" si="1"/>
        <v>Low</v>
      </c>
    </row>
    <row r="44" spans="1:7" x14ac:dyDescent="0.3">
      <c r="A44">
        <v>43</v>
      </c>
      <c r="B44" t="s">
        <v>7</v>
      </c>
      <c r="C44">
        <v>48</v>
      </c>
      <c r="D44">
        <v>39</v>
      </c>
      <c r="E44">
        <v>36</v>
      </c>
      <c r="F44" t="str">
        <f t="shared" si="0"/>
        <v>45-54</v>
      </c>
      <c r="G44" t="str">
        <f t="shared" si="1"/>
        <v>Low</v>
      </c>
    </row>
    <row r="45" spans="1:7" x14ac:dyDescent="0.3">
      <c r="A45">
        <v>44</v>
      </c>
      <c r="B45" t="s">
        <v>8</v>
      </c>
      <c r="C45">
        <v>31</v>
      </c>
      <c r="D45">
        <v>39</v>
      </c>
      <c r="E45">
        <v>61</v>
      </c>
      <c r="F45" t="str">
        <f t="shared" si="0"/>
        <v>25-34</v>
      </c>
      <c r="G45" t="str">
        <f t="shared" si="1"/>
        <v>Low</v>
      </c>
    </row>
    <row r="46" spans="1:7" x14ac:dyDescent="0.3">
      <c r="A46">
        <v>45</v>
      </c>
      <c r="B46" t="s">
        <v>8</v>
      </c>
      <c r="C46">
        <v>49</v>
      </c>
      <c r="D46">
        <v>39</v>
      </c>
      <c r="E46">
        <v>28</v>
      </c>
      <c r="F46" t="str">
        <f t="shared" si="0"/>
        <v>45-54</v>
      </c>
      <c r="G46" t="str">
        <f t="shared" si="1"/>
        <v>Low</v>
      </c>
    </row>
    <row r="47" spans="1:7" x14ac:dyDescent="0.3">
      <c r="A47">
        <v>46</v>
      </c>
      <c r="B47" t="s">
        <v>8</v>
      </c>
      <c r="C47">
        <v>24</v>
      </c>
      <c r="D47">
        <v>39</v>
      </c>
      <c r="E47">
        <v>65</v>
      </c>
      <c r="F47" t="str">
        <f t="shared" si="0"/>
        <v>&lt;25</v>
      </c>
      <c r="G47" t="str">
        <f t="shared" si="1"/>
        <v>Low</v>
      </c>
    </row>
    <row r="48" spans="1:7" x14ac:dyDescent="0.3">
      <c r="A48">
        <v>47</v>
      </c>
      <c r="B48" t="s">
        <v>8</v>
      </c>
      <c r="C48">
        <v>50</v>
      </c>
      <c r="D48">
        <v>40</v>
      </c>
      <c r="E48">
        <v>55</v>
      </c>
      <c r="F48" t="str">
        <f t="shared" si="0"/>
        <v>45-54</v>
      </c>
      <c r="G48" t="str">
        <f t="shared" si="1"/>
        <v>Medium</v>
      </c>
    </row>
    <row r="49" spans="1:7" x14ac:dyDescent="0.3">
      <c r="A49">
        <v>48</v>
      </c>
      <c r="B49" t="s">
        <v>8</v>
      </c>
      <c r="C49">
        <v>27</v>
      </c>
      <c r="D49">
        <v>40</v>
      </c>
      <c r="E49">
        <v>47</v>
      </c>
      <c r="F49" t="str">
        <f t="shared" si="0"/>
        <v>25-34</v>
      </c>
      <c r="G49" t="str">
        <f t="shared" si="1"/>
        <v>Medium</v>
      </c>
    </row>
    <row r="50" spans="1:7" x14ac:dyDescent="0.3">
      <c r="A50">
        <v>49</v>
      </c>
      <c r="B50" t="s">
        <v>8</v>
      </c>
      <c r="C50">
        <v>29</v>
      </c>
      <c r="D50">
        <v>40</v>
      </c>
      <c r="E50">
        <v>42</v>
      </c>
      <c r="F50" t="str">
        <f t="shared" si="0"/>
        <v>25-34</v>
      </c>
      <c r="G50" t="str">
        <f t="shared" si="1"/>
        <v>Medium</v>
      </c>
    </row>
    <row r="51" spans="1:7" x14ac:dyDescent="0.3">
      <c r="A51">
        <v>50</v>
      </c>
      <c r="B51" t="s">
        <v>8</v>
      </c>
      <c r="C51">
        <v>31</v>
      </c>
      <c r="D51">
        <v>40</v>
      </c>
      <c r="E51">
        <v>42</v>
      </c>
      <c r="F51" t="str">
        <f t="shared" si="0"/>
        <v>25-34</v>
      </c>
      <c r="G51" t="str">
        <f t="shared" si="1"/>
        <v>Medium</v>
      </c>
    </row>
    <row r="52" spans="1:7" x14ac:dyDescent="0.3">
      <c r="A52">
        <v>51</v>
      </c>
      <c r="B52" t="s">
        <v>8</v>
      </c>
      <c r="C52">
        <v>49</v>
      </c>
      <c r="D52">
        <v>42</v>
      </c>
      <c r="E52">
        <v>52</v>
      </c>
      <c r="F52" t="str">
        <f t="shared" si="0"/>
        <v>45-54</v>
      </c>
      <c r="G52" t="str">
        <f t="shared" si="1"/>
        <v>Medium</v>
      </c>
    </row>
    <row r="53" spans="1:7" x14ac:dyDescent="0.3">
      <c r="A53">
        <v>52</v>
      </c>
      <c r="B53" t="s">
        <v>7</v>
      </c>
      <c r="C53">
        <v>33</v>
      </c>
      <c r="D53">
        <v>42</v>
      </c>
      <c r="E53">
        <v>60</v>
      </c>
      <c r="F53" t="str">
        <f t="shared" si="0"/>
        <v>25-34</v>
      </c>
      <c r="G53" t="str">
        <f t="shared" si="1"/>
        <v>Medium</v>
      </c>
    </row>
    <row r="54" spans="1:7" x14ac:dyDescent="0.3">
      <c r="A54">
        <v>53</v>
      </c>
      <c r="B54" t="s">
        <v>8</v>
      </c>
      <c r="C54">
        <v>31</v>
      </c>
      <c r="D54">
        <v>43</v>
      </c>
      <c r="E54">
        <v>54</v>
      </c>
      <c r="F54" t="str">
        <f t="shared" si="0"/>
        <v>25-34</v>
      </c>
      <c r="G54" t="str">
        <f t="shared" si="1"/>
        <v>Medium</v>
      </c>
    </row>
    <row r="55" spans="1:7" x14ac:dyDescent="0.3">
      <c r="A55">
        <v>54</v>
      </c>
      <c r="B55" t="s">
        <v>7</v>
      </c>
      <c r="C55">
        <v>59</v>
      </c>
      <c r="D55">
        <v>43</v>
      </c>
      <c r="E55">
        <v>60</v>
      </c>
      <c r="F55" t="str">
        <f t="shared" si="0"/>
        <v>55+</v>
      </c>
      <c r="G55" t="str">
        <f t="shared" si="1"/>
        <v>Medium</v>
      </c>
    </row>
    <row r="56" spans="1:7" x14ac:dyDescent="0.3">
      <c r="A56">
        <v>55</v>
      </c>
      <c r="B56" t="s">
        <v>8</v>
      </c>
      <c r="C56">
        <v>50</v>
      </c>
      <c r="D56">
        <v>43</v>
      </c>
      <c r="E56">
        <v>45</v>
      </c>
      <c r="F56" t="str">
        <f t="shared" si="0"/>
        <v>45-54</v>
      </c>
      <c r="G56" t="str">
        <f t="shared" si="1"/>
        <v>Medium</v>
      </c>
    </row>
    <row r="57" spans="1:7" x14ac:dyDescent="0.3">
      <c r="A57">
        <v>56</v>
      </c>
      <c r="B57" t="s">
        <v>7</v>
      </c>
      <c r="C57">
        <v>47</v>
      </c>
      <c r="D57">
        <v>43</v>
      </c>
      <c r="E57">
        <v>41</v>
      </c>
      <c r="F57" t="str">
        <f t="shared" si="0"/>
        <v>45-54</v>
      </c>
      <c r="G57" t="str">
        <f t="shared" si="1"/>
        <v>Medium</v>
      </c>
    </row>
    <row r="58" spans="1:7" x14ac:dyDescent="0.3">
      <c r="A58">
        <v>57</v>
      </c>
      <c r="B58" t="s">
        <v>8</v>
      </c>
      <c r="C58">
        <v>51</v>
      </c>
      <c r="D58">
        <v>44</v>
      </c>
      <c r="E58">
        <v>50</v>
      </c>
      <c r="F58" t="str">
        <f t="shared" si="0"/>
        <v>45-54</v>
      </c>
      <c r="G58" t="str">
        <f t="shared" si="1"/>
        <v>Medium</v>
      </c>
    </row>
    <row r="59" spans="1:7" x14ac:dyDescent="0.3">
      <c r="A59">
        <v>58</v>
      </c>
      <c r="B59" t="s">
        <v>7</v>
      </c>
      <c r="C59">
        <v>69</v>
      </c>
      <c r="D59">
        <v>44</v>
      </c>
      <c r="E59">
        <v>46</v>
      </c>
      <c r="F59" t="str">
        <f t="shared" si="0"/>
        <v>55+</v>
      </c>
      <c r="G59" t="str">
        <f t="shared" si="1"/>
        <v>Medium</v>
      </c>
    </row>
    <row r="60" spans="1:7" x14ac:dyDescent="0.3">
      <c r="A60">
        <v>59</v>
      </c>
      <c r="B60" t="s">
        <v>8</v>
      </c>
      <c r="C60">
        <v>27</v>
      </c>
      <c r="D60">
        <v>46</v>
      </c>
      <c r="E60">
        <v>51</v>
      </c>
      <c r="F60" t="str">
        <f t="shared" si="0"/>
        <v>25-34</v>
      </c>
      <c r="G60" t="str">
        <f t="shared" si="1"/>
        <v>Medium</v>
      </c>
    </row>
    <row r="61" spans="1:7" x14ac:dyDescent="0.3">
      <c r="A61">
        <v>60</v>
      </c>
      <c r="B61" t="s">
        <v>7</v>
      </c>
      <c r="C61">
        <v>53</v>
      </c>
      <c r="D61">
        <v>46</v>
      </c>
      <c r="E61">
        <v>46</v>
      </c>
      <c r="F61" t="str">
        <f t="shared" si="0"/>
        <v>45-54</v>
      </c>
      <c r="G61" t="str">
        <f t="shared" si="1"/>
        <v>Medium</v>
      </c>
    </row>
    <row r="62" spans="1:7" x14ac:dyDescent="0.3">
      <c r="A62">
        <v>61</v>
      </c>
      <c r="B62" t="s">
        <v>7</v>
      </c>
      <c r="C62">
        <v>70</v>
      </c>
      <c r="D62">
        <v>46</v>
      </c>
      <c r="E62">
        <v>56</v>
      </c>
      <c r="F62" t="str">
        <f t="shared" si="0"/>
        <v>55+</v>
      </c>
      <c r="G62" t="str">
        <f t="shared" si="1"/>
        <v>Medium</v>
      </c>
    </row>
    <row r="63" spans="1:7" x14ac:dyDescent="0.3">
      <c r="A63">
        <v>62</v>
      </c>
      <c r="B63" t="s">
        <v>7</v>
      </c>
      <c r="C63">
        <v>19</v>
      </c>
      <c r="D63">
        <v>46</v>
      </c>
      <c r="E63">
        <v>55</v>
      </c>
      <c r="F63" t="str">
        <f t="shared" si="0"/>
        <v>&lt;25</v>
      </c>
      <c r="G63" t="str">
        <f t="shared" si="1"/>
        <v>Medium</v>
      </c>
    </row>
    <row r="64" spans="1:7" x14ac:dyDescent="0.3">
      <c r="A64">
        <v>63</v>
      </c>
      <c r="B64" t="s">
        <v>8</v>
      </c>
      <c r="C64">
        <v>67</v>
      </c>
      <c r="D64">
        <v>47</v>
      </c>
      <c r="E64">
        <v>52</v>
      </c>
      <c r="F64" t="str">
        <f t="shared" si="0"/>
        <v>55+</v>
      </c>
      <c r="G64" t="str">
        <f t="shared" si="1"/>
        <v>Medium</v>
      </c>
    </row>
    <row r="65" spans="1:7" x14ac:dyDescent="0.3">
      <c r="A65">
        <v>64</v>
      </c>
      <c r="B65" t="s">
        <v>8</v>
      </c>
      <c r="C65">
        <v>54</v>
      </c>
      <c r="D65">
        <v>47</v>
      </c>
      <c r="E65">
        <v>59</v>
      </c>
      <c r="F65" t="str">
        <f t="shared" si="0"/>
        <v>45-54</v>
      </c>
      <c r="G65" t="str">
        <f t="shared" si="1"/>
        <v>Medium</v>
      </c>
    </row>
    <row r="66" spans="1:7" x14ac:dyDescent="0.3">
      <c r="A66">
        <v>65</v>
      </c>
      <c r="B66" t="s">
        <v>7</v>
      </c>
      <c r="C66">
        <v>63</v>
      </c>
      <c r="D66">
        <v>48</v>
      </c>
      <c r="E66">
        <v>51</v>
      </c>
      <c r="F66" t="str">
        <f t="shared" si="0"/>
        <v>55+</v>
      </c>
      <c r="G66" t="str">
        <f t="shared" si="1"/>
        <v>Medium</v>
      </c>
    </row>
    <row r="67" spans="1:7" x14ac:dyDescent="0.3">
      <c r="A67">
        <v>66</v>
      </c>
      <c r="B67" t="s">
        <v>7</v>
      </c>
      <c r="C67">
        <v>18</v>
      </c>
      <c r="D67">
        <v>48</v>
      </c>
      <c r="E67">
        <v>59</v>
      </c>
      <c r="F67" t="str">
        <f t="shared" ref="F67:F130" si="2">IF(C67&lt;25,"&lt;25",IF(C67&lt;35,"25-34",IF(C67&lt;45,"35-44",IF(C67&lt;55,"45-54","55+"))))</f>
        <v>&lt;25</v>
      </c>
      <c r="G67" t="str">
        <f t="shared" ref="G67:G130" si="3">IF(D67&lt;40,"Low",IF(D67&lt;70,"Medium","High"))</f>
        <v>Medium</v>
      </c>
    </row>
    <row r="68" spans="1:7" x14ac:dyDescent="0.3">
      <c r="A68">
        <v>67</v>
      </c>
      <c r="B68" t="s">
        <v>8</v>
      </c>
      <c r="C68">
        <v>43</v>
      </c>
      <c r="D68">
        <v>48</v>
      </c>
      <c r="E68">
        <v>50</v>
      </c>
      <c r="F68" t="str">
        <f t="shared" si="2"/>
        <v>35-44</v>
      </c>
      <c r="G68" t="str">
        <f t="shared" si="3"/>
        <v>Medium</v>
      </c>
    </row>
    <row r="69" spans="1:7" x14ac:dyDescent="0.3">
      <c r="A69">
        <v>68</v>
      </c>
      <c r="B69" t="s">
        <v>8</v>
      </c>
      <c r="C69">
        <v>68</v>
      </c>
      <c r="D69">
        <v>48</v>
      </c>
      <c r="E69">
        <v>48</v>
      </c>
      <c r="F69" t="str">
        <f t="shared" si="2"/>
        <v>55+</v>
      </c>
      <c r="G69" t="str">
        <f t="shared" si="3"/>
        <v>Medium</v>
      </c>
    </row>
    <row r="70" spans="1:7" x14ac:dyDescent="0.3">
      <c r="A70">
        <v>69</v>
      </c>
      <c r="B70" t="s">
        <v>7</v>
      </c>
      <c r="C70">
        <v>19</v>
      </c>
      <c r="D70">
        <v>48</v>
      </c>
      <c r="E70">
        <v>59</v>
      </c>
      <c r="F70" t="str">
        <f t="shared" si="2"/>
        <v>&lt;25</v>
      </c>
      <c r="G70" t="str">
        <f t="shared" si="3"/>
        <v>Medium</v>
      </c>
    </row>
    <row r="71" spans="1:7" x14ac:dyDescent="0.3">
      <c r="A71">
        <v>70</v>
      </c>
      <c r="B71" t="s">
        <v>8</v>
      </c>
      <c r="C71">
        <v>32</v>
      </c>
      <c r="D71">
        <v>48</v>
      </c>
      <c r="E71">
        <v>47</v>
      </c>
      <c r="F71" t="str">
        <f t="shared" si="2"/>
        <v>25-34</v>
      </c>
      <c r="G71" t="str">
        <f t="shared" si="3"/>
        <v>Medium</v>
      </c>
    </row>
    <row r="72" spans="1:7" x14ac:dyDescent="0.3">
      <c r="A72">
        <v>71</v>
      </c>
      <c r="B72" t="s">
        <v>7</v>
      </c>
      <c r="C72">
        <v>70</v>
      </c>
      <c r="D72">
        <v>49</v>
      </c>
      <c r="E72">
        <v>55</v>
      </c>
      <c r="F72" t="str">
        <f t="shared" si="2"/>
        <v>55+</v>
      </c>
      <c r="G72" t="str">
        <f t="shared" si="3"/>
        <v>Medium</v>
      </c>
    </row>
    <row r="73" spans="1:7" x14ac:dyDescent="0.3">
      <c r="A73">
        <v>72</v>
      </c>
      <c r="B73" t="s">
        <v>8</v>
      </c>
      <c r="C73">
        <v>47</v>
      </c>
      <c r="D73">
        <v>49</v>
      </c>
      <c r="E73">
        <v>42</v>
      </c>
      <c r="F73" t="str">
        <f t="shared" si="2"/>
        <v>45-54</v>
      </c>
      <c r="G73" t="str">
        <f t="shared" si="3"/>
        <v>Medium</v>
      </c>
    </row>
    <row r="74" spans="1:7" x14ac:dyDescent="0.3">
      <c r="A74">
        <v>73</v>
      </c>
      <c r="B74" t="s">
        <v>8</v>
      </c>
      <c r="C74">
        <v>60</v>
      </c>
      <c r="D74">
        <v>50</v>
      </c>
      <c r="E74">
        <v>49</v>
      </c>
      <c r="F74" t="str">
        <f t="shared" si="2"/>
        <v>55+</v>
      </c>
      <c r="G74" t="str">
        <f t="shared" si="3"/>
        <v>Medium</v>
      </c>
    </row>
    <row r="75" spans="1:7" x14ac:dyDescent="0.3">
      <c r="A75">
        <v>74</v>
      </c>
      <c r="B75" t="s">
        <v>8</v>
      </c>
      <c r="C75">
        <v>60</v>
      </c>
      <c r="D75">
        <v>50</v>
      </c>
      <c r="E75">
        <v>56</v>
      </c>
      <c r="F75" t="str">
        <f t="shared" si="2"/>
        <v>55+</v>
      </c>
      <c r="G75" t="str">
        <f t="shared" si="3"/>
        <v>Medium</v>
      </c>
    </row>
    <row r="76" spans="1:7" x14ac:dyDescent="0.3">
      <c r="A76">
        <v>75</v>
      </c>
      <c r="B76" t="s">
        <v>7</v>
      </c>
      <c r="C76">
        <v>59</v>
      </c>
      <c r="D76">
        <v>54</v>
      </c>
      <c r="E76">
        <v>47</v>
      </c>
      <c r="F76" t="str">
        <f t="shared" si="2"/>
        <v>55+</v>
      </c>
      <c r="G76" t="str">
        <f t="shared" si="3"/>
        <v>Medium</v>
      </c>
    </row>
    <row r="77" spans="1:7" x14ac:dyDescent="0.3">
      <c r="A77">
        <v>76</v>
      </c>
      <c r="B77" t="s">
        <v>7</v>
      </c>
      <c r="C77">
        <v>26</v>
      </c>
      <c r="D77">
        <v>54</v>
      </c>
      <c r="E77">
        <v>54</v>
      </c>
      <c r="F77" t="str">
        <f t="shared" si="2"/>
        <v>25-34</v>
      </c>
      <c r="G77" t="str">
        <f t="shared" si="3"/>
        <v>Medium</v>
      </c>
    </row>
    <row r="78" spans="1:7" x14ac:dyDescent="0.3">
      <c r="A78">
        <v>77</v>
      </c>
      <c r="B78" t="s">
        <v>8</v>
      </c>
      <c r="C78">
        <v>45</v>
      </c>
      <c r="D78">
        <v>54</v>
      </c>
      <c r="E78">
        <v>53</v>
      </c>
      <c r="F78" t="str">
        <f t="shared" si="2"/>
        <v>45-54</v>
      </c>
      <c r="G78" t="str">
        <f t="shared" si="3"/>
        <v>Medium</v>
      </c>
    </row>
    <row r="79" spans="1:7" x14ac:dyDescent="0.3">
      <c r="A79">
        <v>78</v>
      </c>
      <c r="B79" t="s">
        <v>7</v>
      </c>
      <c r="C79">
        <v>40</v>
      </c>
      <c r="D79">
        <v>54</v>
      </c>
      <c r="E79">
        <v>48</v>
      </c>
      <c r="F79" t="str">
        <f t="shared" si="2"/>
        <v>35-44</v>
      </c>
      <c r="G79" t="str">
        <f t="shared" si="3"/>
        <v>Medium</v>
      </c>
    </row>
    <row r="80" spans="1:7" x14ac:dyDescent="0.3">
      <c r="A80">
        <v>79</v>
      </c>
      <c r="B80" t="s">
        <v>8</v>
      </c>
      <c r="C80">
        <v>23</v>
      </c>
      <c r="D80">
        <v>54</v>
      </c>
      <c r="E80">
        <v>52</v>
      </c>
      <c r="F80" t="str">
        <f t="shared" si="2"/>
        <v>&lt;25</v>
      </c>
      <c r="G80" t="str">
        <f t="shared" si="3"/>
        <v>Medium</v>
      </c>
    </row>
    <row r="81" spans="1:7" x14ac:dyDescent="0.3">
      <c r="A81">
        <v>80</v>
      </c>
      <c r="B81" t="s">
        <v>8</v>
      </c>
      <c r="C81">
        <v>49</v>
      </c>
      <c r="D81">
        <v>54</v>
      </c>
      <c r="E81">
        <v>42</v>
      </c>
      <c r="F81" t="str">
        <f t="shared" si="2"/>
        <v>45-54</v>
      </c>
      <c r="G81" t="str">
        <f t="shared" si="3"/>
        <v>Medium</v>
      </c>
    </row>
    <row r="82" spans="1:7" x14ac:dyDescent="0.3">
      <c r="A82">
        <v>81</v>
      </c>
      <c r="B82" t="s">
        <v>7</v>
      </c>
      <c r="C82">
        <v>57</v>
      </c>
      <c r="D82">
        <v>54</v>
      </c>
      <c r="E82">
        <v>51</v>
      </c>
      <c r="F82" t="str">
        <f t="shared" si="2"/>
        <v>55+</v>
      </c>
      <c r="G82" t="str">
        <f t="shared" si="3"/>
        <v>Medium</v>
      </c>
    </row>
    <row r="83" spans="1:7" x14ac:dyDescent="0.3">
      <c r="A83">
        <v>82</v>
      </c>
      <c r="B83" t="s">
        <v>7</v>
      </c>
      <c r="C83">
        <v>38</v>
      </c>
      <c r="D83">
        <v>54</v>
      </c>
      <c r="E83">
        <v>55</v>
      </c>
      <c r="F83" t="str">
        <f t="shared" si="2"/>
        <v>35-44</v>
      </c>
      <c r="G83" t="str">
        <f t="shared" si="3"/>
        <v>Medium</v>
      </c>
    </row>
    <row r="84" spans="1:7" x14ac:dyDescent="0.3">
      <c r="A84">
        <v>83</v>
      </c>
      <c r="B84" t="s">
        <v>7</v>
      </c>
      <c r="C84">
        <v>67</v>
      </c>
      <c r="D84">
        <v>54</v>
      </c>
      <c r="E84">
        <v>41</v>
      </c>
      <c r="F84" t="str">
        <f t="shared" si="2"/>
        <v>55+</v>
      </c>
      <c r="G84" t="str">
        <f t="shared" si="3"/>
        <v>Medium</v>
      </c>
    </row>
    <row r="85" spans="1:7" x14ac:dyDescent="0.3">
      <c r="A85">
        <v>84</v>
      </c>
      <c r="B85" t="s">
        <v>8</v>
      </c>
      <c r="C85">
        <v>46</v>
      </c>
      <c r="D85">
        <v>54</v>
      </c>
      <c r="E85">
        <v>44</v>
      </c>
      <c r="F85" t="str">
        <f t="shared" si="2"/>
        <v>45-54</v>
      </c>
      <c r="G85" t="str">
        <f t="shared" si="3"/>
        <v>Medium</v>
      </c>
    </row>
    <row r="86" spans="1:7" x14ac:dyDescent="0.3">
      <c r="A86">
        <v>85</v>
      </c>
      <c r="B86" t="s">
        <v>8</v>
      </c>
      <c r="C86">
        <v>21</v>
      </c>
      <c r="D86">
        <v>54</v>
      </c>
      <c r="E86">
        <v>57</v>
      </c>
      <c r="F86" t="str">
        <f t="shared" si="2"/>
        <v>&lt;25</v>
      </c>
      <c r="G86" t="str">
        <f t="shared" si="3"/>
        <v>Medium</v>
      </c>
    </row>
    <row r="87" spans="1:7" x14ac:dyDescent="0.3">
      <c r="A87">
        <v>86</v>
      </c>
      <c r="B87" t="s">
        <v>7</v>
      </c>
      <c r="C87">
        <v>48</v>
      </c>
      <c r="D87">
        <v>54</v>
      </c>
      <c r="E87">
        <v>46</v>
      </c>
      <c r="F87" t="str">
        <f t="shared" si="2"/>
        <v>45-54</v>
      </c>
      <c r="G87" t="str">
        <f t="shared" si="3"/>
        <v>Medium</v>
      </c>
    </row>
    <row r="88" spans="1:7" x14ac:dyDescent="0.3">
      <c r="A88">
        <v>87</v>
      </c>
      <c r="B88" t="s">
        <v>8</v>
      </c>
      <c r="C88">
        <v>55</v>
      </c>
      <c r="D88">
        <v>57</v>
      </c>
      <c r="E88">
        <v>58</v>
      </c>
      <c r="F88" t="str">
        <f t="shared" si="2"/>
        <v>55+</v>
      </c>
      <c r="G88" t="str">
        <f t="shared" si="3"/>
        <v>Medium</v>
      </c>
    </row>
    <row r="89" spans="1:7" x14ac:dyDescent="0.3">
      <c r="A89">
        <v>88</v>
      </c>
      <c r="B89" t="s">
        <v>8</v>
      </c>
      <c r="C89">
        <v>22</v>
      </c>
      <c r="D89">
        <v>57</v>
      </c>
      <c r="E89">
        <v>55</v>
      </c>
      <c r="F89" t="str">
        <f t="shared" si="2"/>
        <v>&lt;25</v>
      </c>
      <c r="G89" t="str">
        <f t="shared" si="3"/>
        <v>Medium</v>
      </c>
    </row>
    <row r="90" spans="1:7" x14ac:dyDescent="0.3">
      <c r="A90">
        <v>89</v>
      </c>
      <c r="B90" t="s">
        <v>8</v>
      </c>
      <c r="C90">
        <v>34</v>
      </c>
      <c r="D90">
        <v>58</v>
      </c>
      <c r="E90">
        <v>60</v>
      </c>
      <c r="F90" t="str">
        <f t="shared" si="2"/>
        <v>25-34</v>
      </c>
      <c r="G90" t="str">
        <f t="shared" si="3"/>
        <v>Medium</v>
      </c>
    </row>
    <row r="91" spans="1:7" x14ac:dyDescent="0.3">
      <c r="A91">
        <v>90</v>
      </c>
      <c r="B91" t="s">
        <v>8</v>
      </c>
      <c r="C91">
        <v>50</v>
      </c>
      <c r="D91">
        <v>58</v>
      </c>
      <c r="E91">
        <v>46</v>
      </c>
      <c r="F91" t="str">
        <f t="shared" si="2"/>
        <v>45-54</v>
      </c>
      <c r="G91" t="str">
        <f t="shared" si="3"/>
        <v>Medium</v>
      </c>
    </row>
    <row r="92" spans="1:7" x14ac:dyDescent="0.3">
      <c r="A92">
        <v>91</v>
      </c>
      <c r="B92" t="s">
        <v>8</v>
      </c>
      <c r="C92">
        <v>68</v>
      </c>
      <c r="D92">
        <v>59</v>
      </c>
      <c r="E92">
        <v>55</v>
      </c>
      <c r="F92" t="str">
        <f t="shared" si="2"/>
        <v>55+</v>
      </c>
      <c r="G92" t="str">
        <f t="shared" si="3"/>
        <v>Medium</v>
      </c>
    </row>
    <row r="93" spans="1:7" x14ac:dyDescent="0.3">
      <c r="A93">
        <v>92</v>
      </c>
      <c r="B93" t="s">
        <v>7</v>
      </c>
      <c r="C93">
        <v>18</v>
      </c>
      <c r="D93">
        <v>59</v>
      </c>
      <c r="E93">
        <v>41</v>
      </c>
      <c r="F93" t="str">
        <f t="shared" si="2"/>
        <v>&lt;25</v>
      </c>
      <c r="G93" t="str">
        <f t="shared" si="3"/>
        <v>Medium</v>
      </c>
    </row>
    <row r="94" spans="1:7" x14ac:dyDescent="0.3">
      <c r="A94">
        <v>93</v>
      </c>
      <c r="B94" t="s">
        <v>7</v>
      </c>
      <c r="C94">
        <v>48</v>
      </c>
      <c r="D94">
        <v>60</v>
      </c>
      <c r="E94">
        <v>49</v>
      </c>
      <c r="F94" t="str">
        <f t="shared" si="2"/>
        <v>45-54</v>
      </c>
      <c r="G94" t="str">
        <f t="shared" si="3"/>
        <v>Medium</v>
      </c>
    </row>
    <row r="95" spans="1:7" x14ac:dyDescent="0.3">
      <c r="A95">
        <v>94</v>
      </c>
      <c r="B95" t="s">
        <v>8</v>
      </c>
      <c r="C95">
        <v>40</v>
      </c>
      <c r="D95">
        <v>60</v>
      </c>
      <c r="E95">
        <v>40</v>
      </c>
      <c r="F95" t="str">
        <f t="shared" si="2"/>
        <v>35-44</v>
      </c>
      <c r="G95" t="str">
        <f t="shared" si="3"/>
        <v>Medium</v>
      </c>
    </row>
    <row r="96" spans="1:7" x14ac:dyDescent="0.3">
      <c r="A96">
        <v>95</v>
      </c>
      <c r="B96" t="s">
        <v>8</v>
      </c>
      <c r="C96">
        <v>32</v>
      </c>
      <c r="D96">
        <v>60</v>
      </c>
      <c r="E96">
        <v>42</v>
      </c>
      <c r="F96" t="str">
        <f t="shared" si="2"/>
        <v>25-34</v>
      </c>
      <c r="G96" t="str">
        <f t="shared" si="3"/>
        <v>Medium</v>
      </c>
    </row>
    <row r="97" spans="1:7" x14ac:dyDescent="0.3">
      <c r="A97">
        <v>96</v>
      </c>
      <c r="B97" t="s">
        <v>7</v>
      </c>
      <c r="C97">
        <v>24</v>
      </c>
      <c r="D97">
        <v>60</v>
      </c>
      <c r="E97">
        <v>52</v>
      </c>
      <c r="F97" t="str">
        <f t="shared" si="2"/>
        <v>&lt;25</v>
      </c>
      <c r="G97" t="str">
        <f t="shared" si="3"/>
        <v>Medium</v>
      </c>
    </row>
    <row r="98" spans="1:7" x14ac:dyDescent="0.3">
      <c r="A98">
        <v>97</v>
      </c>
      <c r="B98" t="s">
        <v>8</v>
      </c>
      <c r="C98">
        <v>47</v>
      </c>
      <c r="D98">
        <v>60</v>
      </c>
      <c r="E98">
        <v>47</v>
      </c>
      <c r="F98" t="str">
        <f t="shared" si="2"/>
        <v>45-54</v>
      </c>
      <c r="G98" t="str">
        <f t="shared" si="3"/>
        <v>Medium</v>
      </c>
    </row>
    <row r="99" spans="1:7" x14ac:dyDescent="0.3">
      <c r="A99">
        <v>98</v>
      </c>
      <c r="B99" t="s">
        <v>8</v>
      </c>
      <c r="C99">
        <v>27</v>
      </c>
      <c r="D99">
        <v>60</v>
      </c>
      <c r="E99">
        <v>50</v>
      </c>
      <c r="F99" t="str">
        <f t="shared" si="2"/>
        <v>25-34</v>
      </c>
      <c r="G99" t="str">
        <f t="shared" si="3"/>
        <v>Medium</v>
      </c>
    </row>
    <row r="100" spans="1:7" x14ac:dyDescent="0.3">
      <c r="A100">
        <v>99</v>
      </c>
      <c r="B100" t="s">
        <v>7</v>
      </c>
      <c r="C100">
        <v>48</v>
      </c>
      <c r="D100">
        <v>61</v>
      </c>
      <c r="E100">
        <v>42</v>
      </c>
      <c r="F100" t="str">
        <f t="shared" si="2"/>
        <v>45-54</v>
      </c>
      <c r="G100" t="str">
        <f t="shared" si="3"/>
        <v>Medium</v>
      </c>
    </row>
    <row r="101" spans="1:7" x14ac:dyDescent="0.3">
      <c r="A101">
        <v>100</v>
      </c>
      <c r="B101" t="s">
        <v>7</v>
      </c>
      <c r="C101">
        <v>20</v>
      </c>
      <c r="D101">
        <v>61</v>
      </c>
      <c r="E101">
        <v>49</v>
      </c>
      <c r="F101" t="str">
        <f t="shared" si="2"/>
        <v>&lt;25</v>
      </c>
      <c r="G101" t="str">
        <f t="shared" si="3"/>
        <v>Medium</v>
      </c>
    </row>
    <row r="102" spans="1:7" x14ac:dyDescent="0.3">
      <c r="A102">
        <v>101</v>
      </c>
      <c r="B102" t="s">
        <v>8</v>
      </c>
      <c r="C102">
        <v>23</v>
      </c>
      <c r="D102">
        <v>62</v>
      </c>
      <c r="E102">
        <v>41</v>
      </c>
      <c r="F102" t="str">
        <f t="shared" si="2"/>
        <v>&lt;25</v>
      </c>
      <c r="G102" t="str">
        <f t="shared" si="3"/>
        <v>Medium</v>
      </c>
    </row>
    <row r="103" spans="1:7" x14ac:dyDescent="0.3">
      <c r="A103">
        <v>102</v>
      </c>
      <c r="B103" t="s">
        <v>8</v>
      </c>
      <c r="C103">
        <v>49</v>
      </c>
      <c r="D103">
        <v>62</v>
      </c>
      <c r="E103">
        <v>48</v>
      </c>
      <c r="F103" t="str">
        <f t="shared" si="2"/>
        <v>45-54</v>
      </c>
      <c r="G103" t="str">
        <f t="shared" si="3"/>
        <v>Medium</v>
      </c>
    </row>
    <row r="104" spans="1:7" x14ac:dyDescent="0.3">
      <c r="A104">
        <v>103</v>
      </c>
      <c r="B104" t="s">
        <v>7</v>
      </c>
      <c r="C104">
        <v>67</v>
      </c>
      <c r="D104">
        <v>62</v>
      </c>
      <c r="E104">
        <v>59</v>
      </c>
      <c r="F104" t="str">
        <f t="shared" si="2"/>
        <v>55+</v>
      </c>
      <c r="G104" t="str">
        <f t="shared" si="3"/>
        <v>Medium</v>
      </c>
    </row>
    <row r="105" spans="1:7" x14ac:dyDescent="0.3">
      <c r="A105">
        <v>104</v>
      </c>
      <c r="B105" t="s">
        <v>7</v>
      </c>
      <c r="C105">
        <v>26</v>
      </c>
      <c r="D105">
        <v>62</v>
      </c>
      <c r="E105">
        <v>55</v>
      </c>
      <c r="F105" t="str">
        <f t="shared" si="2"/>
        <v>25-34</v>
      </c>
      <c r="G105" t="str">
        <f t="shared" si="3"/>
        <v>Medium</v>
      </c>
    </row>
    <row r="106" spans="1:7" x14ac:dyDescent="0.3">
      <c r="A106">
        <v>105</v>
      </c>
      <c r="B106" t="s">
        <v>7</v>
      </c>
      <c r="C106">
        <v>49</v>
      </c>
      <c r="D106">
        <v>62</v>
      </c>
      <c r="E106">
        <v>56</v>
      </c>
      <c r="F106" t="str">
        <f t="shared" si="2"/>
        <v>45-54</v>
      </c>
      <c r="G106" t="str">
        <f t="shared" si="3"/>
        <v>Medium</v>
      </c>
    </row>
    <row r="107" spans="1:7" x14ac:dyDescent="0.3">
      <c r="A107">
        <v>106</v>
      </c>
      <c r="B107" t="s">
        <v>8</v>
      </c>
      <c r="C107">
        <v>21</v>
      </c>
      <c r="D107">
        <v>62</v>
      </c>
      <c r="E107">
        <v>42</v>
      </c>
      <c r="F107" t="str">
        <f t="shared" si="2"/>
        <v>&lt;25</v>
      </c>
      <c r="G107" t="str">
        <f t="shared" si="3"/>
        <v>Medium</v>
      </c>
    </row>
    <row r="108" spans="1:7" x14ac:dyDescent="0.3">
      <c r="A108">
        <v>107</v>
      </c>
      <c r="B108" t="s">
        <v>8</v>
      </c>
      <c r="C108">
        <v>66</v>
      </c>
      <c r="D108">
        <v>63</v>
      </c>
      <c r="E108">
        <v>50</v>
      </c>
      <c r="F108" t="str">
        <f t="shared" si="2"/>
        <v>55+</v>
      </c>
      <c r="G108" t="str">
        <f t="shared" si="3"/>
        <v>Medium</v>
      </c>
    </row>
    <row r="109" spans="1:7" x14ac:dyDescent="0.3">
      <c r="A109">
        <v>108</v>
      </c>
      <c r="B109" t="s">
        <v>7</v>
      </c>
      <c r="C109">
        <v>54</v>
      </c>
      <c r="D109">
        <v>63</v>
      </c>
      <c r="E109">
        <v>46</v>
      </c>
      <c r="F109" t="str">
        <f t="shared" si="2"/>
        <v>45-54</v>
      </c>
      <c r="G109" t="str">
        <f t="shared" si="3"/>
        <v>Medium</v>
      </c>
    </row>
    <row r="110" spans="1:7" x14ac:dyDescent="0.3">
      <c r="A110">
        <v>109</v>
      </c>
      <c r="B110" t="s">
        <v>7</v>
      </c>
      <c r="C110">
        <v>68</v>
      </c>
      <c r="D110">
        <v>63</v>
      </c>
      <c r="E110">
        <v>43</v>
      </c>
      <c r="F110" t="str">
        <f t="shared" si="2"/>
        <v>55+</v>
      </c>
      <c r="G110" t="str">
        <f t="shared" si="3"/>
        <v>Medium</v>
      </c>
    </row>
    <row r="111" spans="1:7" x14ac:dyDescent="0.3">
      <c r="A111">
        <v>110</v>
      </c>
      <c r="B111" t="s">
        <v>7</v>
      </c>
      <c r="C111">
        <v>66</v>
      </c>
      <c r="D111">
        <v>63</v>
      </c>
      <c r="E111">
        <v>48</v>
      </c>
      <c r="F111" t="str">
        <f t="shared" si="2"/>
        <v>55+</v>
      </c>
      <c r="G111" t="str">
        <f t="shared" si="3"/>
        <v>Medium</v>
      </c>
    </row>
    <row r="112" spans="1:7" x14ac:dyDescent="0.3">
      <c r="A112">
        <v>111</v>
      </c>
      <c r="B112" t="s">
        <v>7</v>
      </c>
      <c r="C112">
        <v>65</v>
      </c>
      <c r="D112">
        <v>63</v>
      </c>
      <c r="E112">
        <v>52</v>
      </c>
      <c r="F112" t="str">
        <f t="shared" si="2"/>
        <v>55+</v>
      </c>
      <c r="G112" t="str">
        <f t="shared" si="3"/>
        <v>Medium</v>
      </c>
    </row>
    <row r="113" spans="1:7" x14ac:dyDescent="0.3">
      <c r="A113">
        <v>112</v>
      </c>
      <c r="B113" t="s">
        <v>8</v>
      </c>
      <c r="C113">
        <v>19</v>
      </c>
      <c r="D113">
        <v>63</v>
      </c>
      <c r="E113">
        <v>54</v>
      </c>
      <c r="F113" t="str">
        <f t="shared" si="2"/>
        <v>&lt;25</v>
      </c>
      <c r="G113" t="str">
        <f t="shared" si="3"/>
        <v>Medium</v>
      </c>
    </row>
    <row r="114" spans="1:7" x14ac:dyDescent="0.3">
      <c r="A114">
        <v>113</v>
      </c>
      <c r="B114" t="s">
        <v>8</v>
      </c>
      <c r="C114">
        <v>38</v>
      </c>
      <c r="D114">
        <v>64</v>
      </c>
      <c r="E114">
        <v>42</v>
      </c>
      <c r="F114" t="str">
        <f t="shared" si="2"/>
        <v>35-44</v>
      </c>
      <c r="G114" t="str">
        <f t="shared" si="3"/>
        <v>Medium</v>
      </c>
    </row>
    <row r="115" spans="1:7" x14ac:dyDescent="0.3">
      <c r="A115">
        <v>114</v>
      </c>
      <c r="B115" t="s">
        <v>7</v>
      </c>
      <c r="C115">
        <v>19</v>
      </c>
      <c r="D115">
        <v>64</v>
      </c>
      <c r="E115">
        <v>46</v>
      </c>
      <c r="F115" t="str">
        <f t="shared" si="2"/>
        <v>&lt;25</v>
      </c>
      <c r="G115" t="str">
        <f t="shared" si="3"/>
        <v>Medium</v>
      </c>
    </row>
    <row r="116" spans="1:7" x14ac:dyDescent="0.3">
      <c r="A116">
        <v>115</v>
      </c>
      <c r="B116" t="s">
        <v>8</v>
      </c>
      <c r="C116">
        <v>18</v>
      </c>
      <c r="D116">
        <v>65</v>
      </c>
      <c r="E116">
        <v>48</v>
      </c>
      <c r="F116" t="str">
        <f t="shared" si="2"/>
        <v>&lt;25</v>
      </c>
      <c r="G116" t="str">
        <f t="shared" si="3"/>
        <v>Medium</v>
      </c>
    </row>
    <row r="117" spans="1:7" x14ac:dyDescent="0.3">
      <c r="A117">
        <v>116</v>
      </c>
      <c r="B117" t="s">
        <v>8</v>
      </c>
      <c r="C117">
        <v>19</v>
      </c>
      <c r="D117">
        <v>65</v>
      </c>
      <c r="E117">
        <v>50</v>
      </c>
      <c r="F117" t="str">
        <f t="shared" si="2"/>
        <v>&lt;25</v>
      </c>
      <c r="G117" t="str">
        <f t="shared" si="3"/>
        <v>Medium</v>
      </c>
    </row>
    <row r="118" spans="1:7" x14ac:dyDescent="0.3">
      <c r="A118">
        <v>117</v>
      </c>
      <c r="B118" t="s">
        <v>8</v>
      </c>
      <c r="C118">
        <v>63</v>
      </c>
      <c r="D118">
        <v>65</v>
      </c>
      <c r="E118">
        <v>43</v>
      </c>
      <c r="F118" t="str">
        <f t="shared" si="2"/>
        <v>55+</v>
      </c>
      <c r="G118" t="str">
        <f t="shared" si="3"/>
        <v>Medium</v>
      </c>
    </row>
    <row r="119" spans="1:7" x14ac:dyDescent="0.3">
      <c r="A119">
        <v>118</v>
      </c>
      <c r="B119" t="s">
        <v>8</v>
      </c>
      <c r="C119">
        <v>49</v>
      </c>
      <c r="D119">
        <v>65</v>
      </c>
      <c r="E119">
        <v>59</v>
      </c>
      <c r="F119" t="str">
        <f t="shared" si="2"/>
        <v>45-54</v>
      </c>
      <c r="G119" t="str">
        <f t="shared" si="3"/>
        <v>Medium</v>
      </c>
    </row>
    <row r="120" spans="1:7" x14ac:dyDescent="0.3">
      <c r="A120">
        <v>119</v>
      </c>
      <c r="B120" t="s">
        <v>8</v>
      </c>
      <c r="C120">
        <v>51</v>
      </c>
      <c r="D120">
        <v>67</v>
      </c>
      <c r="E120">
        <v>43</v>
      </c>
      <c r="F120" t="str">
        <f t="shared" si="2"/>
        <v>45-54</v>
      </c>
      <c r="G120" t="str">
        <f t="shared" si="3"/>
        <v>Medium</v>
      </c>
    </row>
    <row r="121" spans="1:7" x14ac:dyDescent="0.3">
      <c r="A121">
        <v>120</v>
      </c>
      <c r="B121" t="s">
        <v>8</v>
      </c>
      <c r="C121">
        <v>50</v>
      </c>
      <c r="D121">
        <v>67</v>
      </c>
      <c r="E121">
        <v>57</v>
      </c>
      <c r="F121" t="str">
        <f t="shared" si="2"/>
        <v>45-54</v>
      </c>
      <c r="G121" t="str">
        <f t="shared" si="3"/>
        <v>Medium</v>
      </c>
    </row>
    <row r="122" spans="1:7" x14ac:dyDescent="0.3">
      <c r="A122">
        <v>121</v>
      </c>
      <c r="B122" t="s">
        <v>7</v>
      </c>
      <c r="C122">
        <v>27</v>
      </c>
      <c r="D122">
        <v>67</v>
      </c>
      <c r="E122">
        <v>56</v>
      </c>
      <c r="F122" t="str">
        <f t="shared" si="2"/>
        <v>25-34</v>
      </c>
      <c r="G122" t="str">
        <f t="shared" si="3"/>
        <v>Medium</v>
      </c>
    </row>
    <row r="123" spans="1:7" x14ac:dyDescent="0.3">
      <c r="A123">
        <v>122</v>
      </c>
      <c r="B123" t="s">
        <v>8</v>
      </c>
      <c r="C123">
        <v>38</v>
      </c>
      <c r="D123">
        <v>67</v>
      </c>
      <c r="E123">
        <v>40</v>
      </c>
      <c r="F123" t="str">
        <f t="shared" si="2"/>
        <v>35-44</v>
      </c>
      <c r="G123" t="str">
        <f t="shared" si="3"/>
        <v>Medium</v>
      </c>
    </row>
    <row r="124" spans="1:7" x14ac:dyDescent="0.3">
      <c r="A124">
        <v>123</v>
      </c>
      <c r="B124" t="s">
        <v>8</v>
      </c>
      <c r="C124">
        <v>40</v>
      </c>
      <c r="D124">
        <v>69</v>
      </c>
      <c r="E124">
        <v>58</v>
      </c>
      <c r="F124" t="str">
        <f t="shared" si="2"/>
        <v>35-44</v>
      </c>
      <c r="G124" t="str">
        <f t="shared" si="3"/>
        <v>Medium</v>
      </c>
    </row>
    <row r="125" spans="1:7" x14ac:dyDescent="0.3">
      <c r="A125">
        <v>124</v>
      </c>
      <c r="B125" t="s">
        <v>7</v>
      </c>
      <c r="C125">
        <v>39</v>
      </c>
      <c r="D125">
        <v>69</v>
      </c>
      <c r="E125">
        <v>91</v>
      </c>
      <c r="F125" t="str">
        <f t="shared" si="2"/>
        <v>35-44</v>
      </c>
      <c r="G125" t="str">
        <f t="shared" si="3"/>
        <v>Medium</v>
      </c>
    </row>
    <row r="126" spans="1:7" x14ac:dyDescent="0.3">
      <c r="A126">
        <v>125</v>
      </c>
      <c r="B126" t="s">
        <v>8</v>
      </c>
      <c r="C126">
        <v>23</v>
      </c>
      <c r="D126">
        <v>70</v>
      </c>
      <c r="E126">
        <v>29</v>
      </c>
      <c r="F126" t="str">
        <f t="shared" si="2"/>
        <v>&lt;25</v>
      </c>
      <c r="G126" t="str">
        <f t="shared" si="3"/>
        <v>High</v>
      </c>
    </row>
    <row r="127" spans="1:7" x14ac:dyDescent="0.3">
      <c r="A127">
        <v>126</v>
      </c>
      <c r="B127" t="s">
        <v>8</v>
      </c>
      <c r="C127">
        <v>31</v>
      </c>
      <c r="D127">
        <v>70</v>
      </c>
      <c r="E127">
        <v>77</v>
      </c>
      <c r="F127" t="str">
        <f t="shared" si="2"/>
        <v>25-34</v>
      </c>
      <c r="G127" t="str">
        <f t="shared" si="3"/>
        <v>High</v>
      </c>
    </row>
    <row r="128" spans="1:7" x14ac:dyDescent="0.3">
      <c r="A128">
        <v>127</v>
      </c>
      <c r="B128" t="s">
        <v>7</v>
      </c>
      <c r="C128">
        <v>43</v>
      </c>
      <c r="D128">
        <v>71</v>
      </c>
      <c r="E128">
        <v>35</v>
      </c>
      <c r="F128" t="str">
        <f t="shared" si="2"/>
        <v>35-44</v>
      </c>
      <c r="G128" t="str">
        <f t="shared" si="3"/>
        <v>High</v>
      </c>
    </row>
    <row r="129" spans="1:7" x14ac:dyDescent="0.3">
      <c r="A129">
        <v>128</v>
      </c>
      <c r="B129" t="s">
        <v>7</v>
      </c>
      <c r="C129">
        <v>40</v>
      </c>
      <c r="D129">
        <v>71</v>
      </c>
      <c r="E129">
        <v>95</v>
      </c>
      <c r="F129" t="str">
        <f t="shared" si="2"/>
        <v>35-44</v>
      </c>
      <c r="G129" t="str">
        <f t="shared" si="3"/>
        <v>High</v>
      </c>
    </row>
    <row r="130" spans="1:7" x14ac:dyDescent="0.3">
      <c r="A130">
        <v>129</v>
      </c>
      <c r="B130" t="s">
        <v>7</v>
      </c>
      <c r="C130">
        <v>59</v>
      </c>
      <c r="D130">
        <v>71</v>
      </c>
      <c r="E130">
        <v>11</v>
      </c>
      <c r="F130" t="str">
        <f t="shared" si="2"/>
        <v>55+</v>
      </c>
      <c r="G130" t="str">
        <f t="shared" si="3"/>
        <v>High</v>
      </c>
    </row>
    <row r="131" spans="1:7" x14ac:dyDescent="0.3">
      <c r="A131">
        <v>130</v>
      </c>
      <c r="B131" t="s">
        <v>7</v>
      </c>
      <c r="C131">
        <v>38</v>
      </c>
      <c r="D131">
        <v>71</v>
      </c>
      <c r="E131">
        <v>75</v>
      </c>
      <c r="F131" t="str">
        <f t="shared" ref="F131:F194" si="4">IF(C131&lt;25,"&lt;25",IF(C131&lt;35,"25-34",IF(C131&lt;45,"35-44",IF(C131&lt;55,"45-54","55+"))))</f>
        <v>35-44</v>
      </c>
      <c r="G131" t="str">
        <f t="shared" ref="G131:G194" si="5">IF(D131&lt;40,"Low",IF(D131&lt;70,"Medium","High"))</f>
        <v>High</v>
      </c>
    </row>
    <row r="132" spans="1:7" x14ac:dyDescent="0.3">
      <c r="A132">
        <v>131</v>
      </c>
      <c r="B132" t="s">
        <v>7</v>
      </c>
      <c r="C132">
        <v>47</v>
      </c>
      <c r="D132">
        <v>71</v>
      </c>
      <c r="E132">
        <v>9</v>
      </c>
      <c r="F132" t="str">
        <f t="shared" si="4"/>
        <v>45-54</v>
      </c>
      <c r="G132" t="str">
        <f t="shared" si="5"/>
        <v>High</v>
      </c>
    </row>
    <row r="133" spans="1:7" x14ac:dyDescent="0.3">
      <c r="A133">
        <v>132</v>
      </c>
      <c r="B133" t="s">
        <v>7</v>
      </c>
      <c r="C133">
        <v>39</v>
      </c>
      <c r="D133">
        <v>71</v>
      </c>
      <c r="E133">
        <v>75</v>
      </c>
      <c r="F133" t="str">
        <f t="shared" si="4"/>
        <v>35-44</v>
      </c>
      <c r="G133" t="str">
        <f t="shared" si="5"/>
        <v>High</v>
      </c>
    </row>
    <row r="134" spans="1:7" x14ac:dyDescent="0.3">
      <c r="A134">
        <v>133</v>
      </c>
      <c r="B134" t="s">
        <v>8</v>
      </c>
      <c r="C134">
        <v>25</v>
      </c>
      <c r="D134">
        <v>72</v>
      </c>
      <c r="E134">
        <v>34</v>
      </c>
      <c r="F134" t="str">
        <f t="shared" si="4"/>
        <v>25-34</v>
      </c>
      <c r="G134" t="str">
        <f t="shared" si="5"/>
        <v>High</v>
      </c>
    </row>
    <row r="135" spans="1:7" x14ac:dyDescent="0.3">
      <c r="A135">
        <v>134</v>
      </c>
      <c r="B135" t="s">
        <v>8</v>
      </c>
      <c r="C135">
        <v>31</v>
      </c>
      <c r="D135">
        <v>72</v>
      </c>
      <c r="E135">
        <v>71</v>
      </c>
      <c r="F135" t="str">
        <f t="shared" si="4"/>
        <v>25-34</v>
      </c>
      <c r="G135" t="str">
        <f t="shared" si="5"/>
        <v>High</v>
      </c>
    </row>
    <row r="136" spans="1:7" x14ac:dyDescent="0.3">
      <c r="A136">
        <v>135</v>
      </c>
      <c r="B136" t="s">
        <v>7</v>
      </c>
      <c r="C136">
        <v>20</v>
      </c>
      <c r="D136">
        <v>73</v>
      </c>
      <c r="E136">
        <v>5</v>
      </c>
      <c r="F136" t="str">
        <f t="shared" si="4"/>
        <v>&lt;25</v>
      </c>
      <c r="G136" t="str">
        <f t="shared" si="5"/>
        <v>High</v>
      </c>
    </row>
    <row r="137" spans="1:7" x14ac:dyDescent="0.3">
      <c r="A137">
        <v>136</v>
      </c>
      <c r="B137" t="s">
        <v>8</v>
      </c>
      <c r="C137">
        <v>29</v>
      </c>
      <c r="D137">
        <v>73</v>
      </c>
      <c r="E137">
        <v>88</v>
      </c>
      <c r="F137" t="str">
        <f t="shared" si="4"/>
        <v>25-34</v>
      </c>
      <c r="G137" t="str">
        <f t="shared" si="5"/>
        <v>High</v>
      </c>
    </row>
    <row r="138" spans="1:7" x14ac:dyDescent="0.3">
      <c r="A138">
        <v>137</v>
      </c>
      <c r="B138" t="s">
        <v>8</v>
      </c>
      <c r="C138">
        <v>44</v>
      </c>
      <c r="D138">
        <v>73</v>
      </c>
      <c r="E138">
        <v>7</v>
      </c>
      <c r="F138" t="str">
        <f t="shared" si="4"/>
        <v>35-44</v>
      </c>
      <c r="G138" t="str">
        <f t="shared" si="5"/>
        <v>High</v>
      </c>
    </row>
    <row r="139" spans="1:7" x14ac:dyDescent="0.3">
      <c r="A139">
        <v>138</v>
      </c>
      <c r="B139" t="s">
        <v>7</v>
      </c>
      <c r="C139">
        <v>32</v>
      </c>
      <c r="D139">
        <v>73</v>
      </c>
      <c r="E139">
        <v>73</v>
      </c>
      <c r="F139" t="str">
        <f t="shared" si="4"/>
        <v>25-34</v>
      </c>
      <c r="G139" t="str">
        <f t="shared" si="5"/>
        <v>High</v>
      </c>
    </row>
    <row r="140" spans="1:7" x14ac:dyDescent="0.3">
      <c r="A140">
        <v>139</v>
      </c>
      <c r="B140" t="s">
        <v>7</v>
      </c>
      <c r="C140">
        <v>19</v>
      </c>
      <c r="D140">
        <v>74</v>
      </c>
      <c r="E140">
        <v>10</v>
      </c>
      <c r="F140" t="str">
        <f t="shared" si="4"/>
        <v>&lt;25</v>
      </c>
      <c r="G140" t="str">
        <f t="shared" si="5"/>
        <v>High</v>
      </c>
    </row>
    <row r="141" spans="1:7" x14ac:dyDescent="0.3">
      <c r="A141">
        <v>140</v>
      </c>
      <c r="B141" t="s">
        <v>8</v>
      </c>
      <c r="C141">
        <v>35</v>
      </c>
      <c r="D141">
        <v>74</v>
      </c>
      <c r="E141">
        <v>72</v>
      </c>
      <c r="F141" t="str">
        <f t="shared" si="4"/>
        <v>35-44</v>
      </c>
      <c r="G141" t="str">
        <f t="shared" si="5"/>
        <v>High</v>
      </c>
    </row>
    <row r="142" spans="1:7" x14ac:dyDescent="0.3">
      <c r="A142">
        <v>141</v>
      </c>
      <c r="B142" t="s">
        <v>8</v>
      </c>
      <c r="C142">
        <v>57</v>
      </c>
      <c r="D142">
        <v>75</v>
      </c>
      <c r="E142">
        <v>5</v>
      </c>
      <c r="F142" t="str">
        <f t="shared" si="4"/>
        <v>55+</v>
      </c>
      <c r="G142" t="str">
        <f t="shared" si="5"/>
        <v>High</v>
      </c>
    </row>
    <row r="143" spans="1:7" x14ac:dyDescent="0.3">
      <c r="A143">
        <v>142</v>
      </c>
      <c r="B143" t="s">
        <v>7</v>
      </c>
      <c r="C143">
        <v>32</v>
      </c>
      <c r="D143">
        <v>75</v>
      </c>
      <c r="E143">
        <v>93</v>
      </c>
      <c r="F143" t="str">
        <f t="shared" si="4"/>
        <v>25-34</v>
      </c>
      <c r="G143" t="str">
        <f t="shared" si="5"/>
        <v>High</v>
      </c>
    </row>
    <row r="144" spans="1:7" x14ac:dyDescent="0.3">
      <c r="A144">
        <v>143</v>
      </c>
      <c r="B144" t="s">
        <v>8</v>
      </c>
      <c r="C144">
        <v>28</v>
      </c>
      <c r="D144">
        <v>76</v>
      </c>
      <c r="E144">
        <v>40</v>
      </c>
      <c r="F144" t="str">
        <f t="shared" si="4"/>
        <v>25-34</v>
      </c>
      <c r="G144" t="str">
        <f t="shared" si="5"/>
        <v>High</v>
      </c>
    </row>
    <row r="145" spans="1:7" x14ac:dyDescent="0.3">
      <c r="A145">
        <v>144</v>
      </c>
      <c r="B145" t="s">
        <v>8</v>
      </c>
      <c r="C145">
        <v>32</v>
      </c>
      <c r="D145">
        <v>76</v>
      </c>
      <c r="E145">
        <v>87</v>
      </c>
      <c r="F145" t="str">
        <f t="shared" si="4"/>
        <v>25-34</v>
      </c>
      <c r="G145" t="str">
        <f t="shared" si="5"/>
        <v>High</v>
      </c>
    </row>
    <row r="146" spans="1:7" x14ac:dyDescent="0.3">
      <c r="A146">
        <v>145</v>
      </c>
      <c r="B146" t="s">
        <v>7</v>
      </c>
      <c r="C146">
        <v>25</v>
      </c>
      <c r="D146">
        <v>77</v>
      </c>
      <c r="E146">
        <v>12</v>
      </c>
      <c r="F146" t="str">
        <f t="shared" si="4"/>
        <v>25-34</v>
      </c>
      <c r="G146" t="str">
        <f t="shared" si="5"/>
        <v>High</v>
      </c>
    </row>
    <row r="147" spans="1:7" x14ac:dyDescent="0.3">
      <c r="A147">
        <v>146</v>
      </c>
      <c r="B147" t="s">
        <v>7</v>
      </c>
      <c r="C147">
        <v>28</v>
      </c>
      <c r="D147">
        <v>77</v>
      </c>
      <c r="E147">
        <v>97</v>
      </c>
      <c r="F147" t="str">
        <f t="shared" si="4"/>
        <v>25-34</v>
      </c>
      <c r="G147" t="str">
        <f t="shared" si="5"/>
        <v>High</v>
      </c>
    </row>
    <row r="148" spans="1:7" x14ac:dyDescent="0.3">
      <c r="A148">
        <v>147</v>
      </c>
      <c r="B148" t="s">
        <v>7</v>
      </c>
      <c r="C148">
        <v>48</v>
      </c>
      <c r="D148">
        <v>77</v>
      </c>
      <c r="E148">
        <v>36</v>
      </c>
      <c r="F148" t="str">
        <f t="shared" si="4"/>
        <v>45-54</v>
      </c>
      <c r="G148" t="str">
        <f t="shared" si="5"/>
        <v>High</v>
      </c>
    </row>
    <row r="149" spans="1:7" x14ac:dyDescent="0.3">
      <c r="A149">
        <v>148</v>
      </c>
      <c r="B149" t="s">
        <v>8</v>
      </c>
      <c r="C149">
        <v>32</v>
      </c>
      <c r="D149">
        <v>77</v>
      </c>
      <c r="E149">
        <v>74</v>
      </c>
      <c r="F149" t="str">
        <f t="shared" si="4"/>
        <v>25-34</v>
      </c>
      <c r="G149" t="str">
        <f t="shared" si="5"/>
        <v>High</v>
      </c>
    </row>
    <row r="150" spans="1:7" x14ac:dyDescent="0.3">
      <c r="A150">
        <v>149</v>
      </c>
      <c r="B150" t="s">
        <v>8</v>
      </c>
      <c r="C150">
        <v>34</v>
      </c>
      <c r="D150">
        <v>78</v>
      </c>
      <c r="E150">
        <v>22</v>
      </c>
      <c r="F150" t="str">
        <f t="shared" si="4"/>
        <v>25-34</v>
      </c>
      <c r="G150" t="str">
        <f t="shared" si="5"/>
        <v>High</v>
      </c>
    </row>
    <row r="151" spans="1:7" x14ac:dyDescent="0.3">
      <c r="A151">
        <v>150</v>
      </c>
      <c r="B151" t="s">
        <v>7</v>
      </c>
      <c r="C151">
        <v>34</v>
      </c>
      <c r="D151">
        <v>78</v>
      </c>
      <c r="E151">
        <v>90</v>
      </c>
      <c r="F151" t="str">
        <f t="shared" si="4"/>
        <v>25-34</v>
      </c>
      <c r="G151" t="str">
        <f t="shared" si="5"/>
        <v>High</v>
      </c>
    </row>
    <row r="152" spans="1:7" x14ac:dyDescent="0.3">
      <c r="A152">
        <v>151</v>
      </c>
      <c r="B152" t="s">
        <v>7</v>
      </c>
      <c r="C152">
        <v>43</v>
      </c>
      <c r="D152">
        <v>78</v>
      </c>
      <c r="E152">
        <v>17</v>
      </c>
      <c r="F152" t="str">
        <f t="shared" si="4"/>
        <v>35-44</v>
      </c>
      <c r="G152" t="str">
        <f t="shared" si="5"/>
        <v>High</v>
      </c>
    </row>
    <row r="153" spans="1:7" x14ac:dyDescent="0.3">
      <c r="A153">
        <v>152</v>
      </c>
      <c r="B153" t="s">
        <v>7</v>
      </c>
      <c r="C153">
        <v>39</v>
      </c>
      <c r="D153">
        <v>78</v>
      </c>
      <c r="E153">
        <v>88</v>
      </c>
      <c r="F153" t="str">
        <f t="shared" si="4"/>
        <v>35-44</v>
      </c>
      <c r="G153" t="str">
        <f t="shared" si="5"/>
        <v>High</v>
      </c>
    </row>
    <row r="154" spans="1:7" x14ac:dyDescent="0.3">
      <c r="A154">
        <v>153</v>
      </c>
      <c r="B154" t="s">
        <v>8</v>
      </c>
      <c r="C154">
        <v>44</v>
      </c>
      <c r="D154">
        <v>78</v>
      </c>
      <c r="E154">
        <v>20</v>
      </c>
      <c r="F154" t="str">
        <f t="shared" si="4"/>
        <v>35-44</v>
      </c>
      <c r="G154" t="str">
        <f t="shared" si="5"/>
        <v>High</v>
      </c>
    </row>
    <row r="155" spans="1:7" x14ac:dyDescent="0.3">
      <c r="A155">
        <v>154</v>
      </c>
      <c r="B155" t="s">
        <v>8</v>
      </c>
      <c r="C155">
        <v>38</v>
      </c>
      <c r="D155">
        <v>78</v>
      </c>
      <c r="E155">
        <v>76</v>
      </c>
      <c r="F155" t="str">
        <f t="shared" si="4"/>
        <v>35-44</v>
      </c>
      <c r="G155" t="str">
        <f t="shared" si="5"/>
        <v>High</v>
      </c>
    </row>
    <row r="156" spans="1:7" x14ac:dyDescent="0.3">
      <c r="A156">
        <v>155</v>
      </c>
      <c r="B156" t="s">
        <v>8</v>
      </c>
      <c r="C156">
        <v>47</v>
      </c>
      <c r="D156">
        <v>78</v>
      </c>
      <c r="E156">
        <v>16</v>
      </c>
      <c r="F156" t="str">
        <f t="shared" si="4"/>
        <v>45-54</v>
      </c>
      <c r="G156" t="str">
        <f t="shared" si="5"/>
        <v>High</v>
      </c>
    </row>
    <row r="157" spans="1:7" x14ac:dyDescent="0.3">
      <c r="A157">
        <v>156</v>
      </c>
      <c r="B157" t="s">
        <v>8</v>
      </c>
      <c r="C157">
        <v>27</v>
      </c>
      <c r="D157">
        <v>78</v>
      </c>
      <c r="E157">
        <v>89</v>
      </c>
      <c r="F157" t="str">
        <f t="shared" si="4"/>
        <v>25-34</v>
      </c>
      <c r="G157" t="str">
        <f t="shared" si="5"/>
        <v>High</v>
      </c>
    </row>
    <row r="158" spans="1:7" x14ac:dyDescent="0.3">
      <c r="A158">
        <v>157</v>
      </c>
      <c r="B158" t="s">
        <v>7</v>
      </c>
      <c r="C158">
        <v>37</v>
      </c>
      <c r="D158">
        <v>78</v>
      </c>
      <c r="E158">
        <v>1</v>
      </c>
      <c r="F158" t="str">
        <f t="shared" si="4"/>
        <v>35-44</v>
      </c>
      <c r="G158" t="str">
        <f t="shared" si="5"/>
        <v>High</v>
      </c>
    </row>
    <row r="159" spans="1:7" x14ac:dyDescent="0.3">
      <c r="A159">
        <v>158</v>
      </c>
      <c r="B159" t="s">
        <v>8</v>
      </c>
      <c r="C159">
        <v>30</v>
      </c>
      <c r="D159">
        <v>78</v>
      </c>
      <c r="E159">
        <v>78</v>
      </c>
      <c r="F159" t="str">
        <f t="shared" si="4"/>
        <v>25-34</v>
      </c>
      <c r="G159" t="str">
        <f t="shared" si="5"/>
        <v>High</v>
      </c>
    </row>
    <row r="160" spans="1:7" x14ac:dyDescent="0.3">
      <c r="A160">
        <v>159</v>
      </c>
      <c r="B160" t="s">
        <v>7</v>
      </c>
      <c r="C160">
        <v>34</v>
      </c>
      <c r="D160">
        <v>78</v>
      </c>
      <c r="E160">
        <v>1</v>
      </c>
      <c r="F160" t="str">
        <f t="shared" si="4"/>
        <v>25-34</v>
      </c>
      <c r="G160" t="str">
        <f t="shared" si="5"/>
        <v>High</v>
      </c>
    </row>
    <row r="161" spans="1:7" x14ac:dyDescent="0.3">
      <c r="A161">
        <v>160</v>
      </c>
      <c r="B161" t="s">
        <v>8</v>
      </c>
      <c r="C161">
        <v>30</v>
      </c>
      <c r="D161">
        <v>78</v>
      </c>
      <c r="E161">
        <v>73</v>
      </c>
      <c r="F161" t="str">
        <f t="shared" si="4"/>
        <v>25-34</v>
      </c>
      <c r="G161" t="str">
        <f t="shared" si="5"/>
        <v>High</v>
      </c>
    </row>
    <row r="162" spans="1:7" x14ac:dyDescent="0.3">
      <c r="A162">
        <v>161</v>
      </c>
      <c r="B162" t="s">
        <v>8</v>
      </c>
      <c r="C162">
        <v>56</v>
      </c>
      <c r="D162">
        <v>79</v>
      </c>
      <c r="E162">
        <v>35</v>
      </c>
      <c r="F162" t="str">
        <f t="shared" si="4"/>
        <v>55+</v>
      </c>
      <c r="G162" t="str">
        <f t="shared" si="5"/>
        <v>High</v>
      </c>
    </row>
    <row r="163" spans="1:7" x14ac:dyDescent="0.3">
      <c r="A163">
        <v>162</v>
      </c>
      <c r="B163" t="s">
        <v>8</v>
      </c>
      <c r="C163">
        <v>29</v>
      </c>
      <c r="D163">
        <v>79</v>
      </c>
      <c r="E163">
        <v>83</v>
      </c>
      <c r="F163" t="str">
        <f t="shared" si="4"/>
        <v>25-34</v>
      </c>
      <c r="G163" t="str">
        <f t="shared" si="5"/>
        <v>High</v>
      </c>
    </row>
    <row r="164" spans="1:7" x14ac:dyDescent="0.3">
      <c r="A164">
        <v>163</v>
      </c>
      <c r="B164" t="s">
        <v>7</v>
      </c>
      <c r="C164">
        <v>19</v>
      </c>
      <c r="D164">
        <v>81</v>
      </c>
      <c r="E164">
        <v>5</v>
      </c>
      <c r="F164" t="str">
        <f t="shared" si="4"/>
        <v>&lt;25</v>
      </c>
      <c r="G164" t="str">
        <f t="shared" si="5"/>
        <v>High</v>
      </c>
    </row>
    <row r="165" spans="1:7" x14ac:dyDescent="0.3">
      <c r="A165">
        <v>164</v>
      </c>
      <c r="B165" t="s">
        <v>8</v>
      </c>
      <c r="C165">
        <v>31</v>
      </c>
      <c r="D165">
        <v>81</v>
      </c>
      <c r="E165">
        <v>93</v>
      </c>
      <c r="F165" t="str">
        <f t="shared" si="4"/>
        <v>25-34</v>
      </c>
      <c r="G165" t="str">
        <f t="shared" si="5"/>
        <v>High</v>
      </c>
    </row>
    <row r="166" spans="1:7" x14ac:dyDescent="0.3">
      <c r="A166">
        <v>165</v>
      </c>
      <c r="B166" t="s">
        <v>7</v>
      </c>
      <c r="C166">
        <v>50</v>
      </c>
      <c r="D166">
        <v>85</v>
      </c>
      <c r="E166">
        <v>26</v>
      </c>
      <c r="F166" t="str">
        <f t="shared" si="4"/>
        <v>45-54</v>
      </c>
      <c r="G166" t="str">
        <f t="shared" si="5"/>
        <v>High</v>
      </c>
    </row>
    <row r="167" spans="1:7" x14ac:dyDescent="0.3">
      <c r="A167">
        <v>166</v>
      </c>
      <c r="B167" t="s">
        <v>8</v>
      </c>
      <c r="C167">
        <v>36</v>
      </c>
      <c r="D167">
        <v>85</v>
      </c>
      <c r="E167">
        <v>75</v>
      </c>
      <c r="F167" t="str">
        <f t="shared" si="4"/>
        <v>35-44</v>
      </c>
      <c r="G167" t="str">
        <f t="shared" si="5"/>
        <v>High</v>
      </c>
    </row>
    <row r="168" spans="1:7" x14ac:dyDescent="0.3">
      <c r="A168">
        <v>167</v>
      </c>
      <c r="B168" t="s">
        <v>7</v>
      </c>
      <c r="C168">
        <v>42</v>
      </c>
      <c r="D168">
        <v>86</v>
      </c>
      <c r="E168">
        <v>20</v>
      </c>
      <c r="F168" t="str">
        <f t="shared" si="4"/>
        <v>35-44</v>
      </c>
      <c r="G168" t="str">
        <f t="shared" si="5"/>
        <v>High</v>
      </c>
    </row>
    <row r="169" spans="1:7" x14ac:dyDescent="0.3">
      <c r="A169">
        <v>168</v>
      </c>
      <c r="B169" t="s">
        <v>8</v>
      </c>
      <c r="C169">
        <v>33</v>
      </c>
      <c r="D169">
        <v>86</v>
      </c>
      <c r="E169">
        <v>95</v>
      </c>
      <c r="F169" t="str">
        <f t="shared" si="4"/>
        <v>25-34</v>
      </c>
      <c r="G169" t="str">
        <f t="shared" si="5"/>
        <v>High</v>
      </c>
    </row>
    <row r="170" spans="1:7" x14ac:dyDescent="0.3">
      <c r="A170">
        <v>169</v>
      </c>
      <c r="B170" t="s">
        <v>8</v>
      </c>
      <c r="C170">
        <v>36</v>
      </c>
      <c r="D170">
        <v>87</v>
      </c>
      <c r="E170">
        <v>27</v>
      </c>
      <c r="F170" t="str">
        <f t="shared" si="4"/>
        <v>35-44</v>
      </c>
      <c r="G170" t="str">
        <f t="shared" si="5"/>
        <v>High</v>
      </c>
    </row>
    <row r="171" spans="1:7" x14ac:dyDescent="0.3">
      <c r="A171">
        <v>170</v>
      </c>
      <c r="B171" t="s">
        <v>7</v>
      </c>
      <c r="C171">
        <v>32</v>
      </c>
      <c r="D171">
        <v>87</v>
      </c>
      <c r="E171">
        <v>63</v>
      </c>
      <c r="F171" t="str">
        <f t="shared" si="4"/>
        <v>25-34</v>
      </c>
      <c r="G171" t="str">
        <f t="shared" si="5"/>
        <v>High</v>
      </c>
    </row>
    <row r="172" spans="1:7" x14ac:dyDescent="0.3">
      <c r="A172">
        <v>171</v>
      </c>
      <c r="B172" t="s">
        <v>7</v>
      </c>
      <c r="C172">
        <v>40</v>
      </c>
      <c r="D172">
        <v>87</v>
      </c>
      <c r="E172">
        <v>13</v>
      </c>
      <c r="F172" t="str">
        <f t="shared" si="4"/>
        <v>35-44</v>
      </c>
      <c r="G172" t="str">
        <f t="shared" si="5"/>
        <v>High</v>
      </c>
    </row>
    <row r="173" spans="1:7" x14ac:dyDescent="0.3">
      <c r="A173">
        <v>172</v>
      </c>
      <c r="B173" t="s">
        <v>7</v>
      </c>
      <c r="C173">
        <v>28</v>
      </c>
      <c r="D173">
        <v>87</v>
      </c>
      <c r="E173">
        <v>75</v>
      </c>
      <c r="F173" t="str">
        <f t="shared" si="4"/>
        <v>25-34</v>
      </c>
      <c r="G173" t="str">
        <f t="shared" si="5"/>
        <v>High</v>
      </c>
    </row>
    <row r="174" spans="1:7" x14ac:dyDescent="0.3">
      <c r="A174">
        <v>173</v>
      </c>
      <c r="B174" t="s">
        <v>7</v>
      </c>
      <c r="C174">
        <v>36</v>
      </c>
      <c r="D174">
        <v>87</v>
      </c>
      <c r="E174">
        <v>10</v>
      </c>
      <c r="F174" t="str">
        <f t="shared" si="4"/>
        <v>35-44</v>
      </c>
      <c r="G174" t="str">
        <f t="shared" si="5"/>
        <v>High</v>
      </c>
    </row>
    <row r="175" spans="1:7" x14ac:dyDescent="0.3">
      <c r="A175">
        <v>174</v>
      </c>
      <c r="B175" t="s">
        <v>7</v>
      </c>
      <c r="C175">
        <v>36</v>
      </c>
      <c r="D175">
        <v>87</v>
      </c>
      <c r="E175">
        <v>92</v>
      </c>
      <c r="F175" t="str">
        <f t="shared" si="4"/>
        <v>35-44</v>
      </c>
      <c r="G175" t="str">
        <f t="shared" si="5"/>
        <v>High</v>
      </c>
    </row>
    <row r="176" spans="1:7" x14ac:dyDescent="0.3">
      <c r="A176">
        <v>175</v>
      </c>
      <c r="B176" t="s">
        <v>8</v>
      </c>
      <c r="C176">
        <v>52</v>
      </c>
      <c r="D176">
        <v>88</v>
      </c>
      <c r="E176">
        <v>13</v>
      </c>
      <c r="F176" t="str">
        <f t="shared" si="4"/>
        <v>45-54</v>
      </c>
      <c r="G176" t="str">
        <f t="shared" si="5"/>
        <v>High</v>
      </c>
    </row>
    <row r="177" spans="1:7" x14ac:dyDescent="0.3">
      <c r="A177">
        <v>176</v>
      </c>
      <c r="B177" t="s">
        <v>8</v>
      </c>
      <c r="C177">
        <v>30</v>
      </c>
      <c r="D177">
        <v>88</v>
      </c>
      <c r="E177">
        <v>86</v>
      </c>
      <c r="F177" t="str">
        <f t="shared" si="4"/>
        <v>25-34</v>
      </c>
      <c r="G177" t="str">
        <f t="shared" si="5"/>
        <v>High</v>
      </c>
    </row>
    <row r="178" spans="1:7" x14ac:dyDescent="0.3">
      <c r="A178">
        <v>177</v>
      </c>
      <c r="B178" t="s">
        <v>7</v>
      </c>
      <c r="C178">
        <v>58</v>
      </c>
      <c r="D178">
        <v>88</v>
      </c>
      <c r="E178">
        <v>15</v>
      </c>
      <c r="F178" t="str">
        <f t="shared" si="4"/>
        <v>55+</v>
      </c>
      <c r="G178" t="str">
        <f t="shared" si="5"/>
        <v>High</v>
      </c>
    </row>
    <row r="179" spans="1:7" x14ac:dyDescent="0.3">
      <c r="A179">
        <v>178</v>
      </c>
      <c r="B179" t="s">
        <v>7</v>
      </c>
      <c r="C179">
        <v>27</v>
      </c>
      <c r="D179">
        <v>88</v>
      </c>
      <c r="E179">
        <v>69</v>
      </c>
      <c r="F179" t="str">
        <f t="shared" si="4"/>
        <v>25-34</v>
      </c>
      <c r="G179" t="str">
        <f t="shared" si="5"/>
        <v>High</v>
      </c>
    </row>
    <row r="180" spans="1:7" x14ac:dyDescent="0.3">
      <c r="A180">
        <v>179</v>
      </c>
      <c r="B180" t="s">
        <v>7</v>
      </c>
      <c r="C180">
        <v>59</v>
      </c>
      <c r="D180">
        <v>93</v>
      </c>
      <c r="E180">
        <v>14</v>
      </c>
      <c r="F180" t="str">
        <f t="shared" si="4"/>
        <v>55+</v>
      </c>
      <c r="G180" t="str">
        <f t="shared" si="5"/>
        <v>High</v>
      </c>
    </row>
    <row r="181" spans="1:7" x14ac:dyDescent="0.3">
      <c r="A181">
        <v>180</v>
      </c>
      <c r="B181" t="s">
        <v>7</v>
      </c>
      <c r="C181">
        <v>35</v>
      </c>
      <c r="D181">
        <v>93</v>
      </c>
      <c r="E181">
        <v>90</v>
      </c>
      <c r="F181" t="str">
        <f t="shared" si="4"/>
        <v>35-44</v>
      </c>
      <c r="G181" t="str">
        <f t="shared" si="5"/>
        <v>High</v>
      </c>
    </row>
    <row r="182" spans="1:7" x14ac:dyDescent="0.3">
      <c r="A182">
        <v>181</v>
      </c>
      <c r="B182" t="s">
        <v>8</v>
      </c>
      <c r="C182">
        <v>37</v>
      </c>
      <c r="D182">
        <v>97</v>
      </c>
      <c r="E182">
        <v>32</v>
      </c>
      <c r="F182" t="str">
        <f t="shared" si="4"/>
        <v>35-44</v>
      </c>
      <c r="G182" t="str">
        <f t="shared" si="5"/>
        <v>High</v>
      </c>
    </row>
    <row r="183" spans="1:7" x14ac:dyDescent="0.3">
      <c r="A183">
        <v>182</v>
      </c>
      <c r="B183" t="s">
        <v>8</v>
      </c>
      <c r="C183">
        <v>32</v>
      </c>
      <c r="D183">
        <v>97</v>
      </c>
      <c r="E183">
        <v>86</v>
      </c>
      <c r="F183" t="str">
        <f t="shared" si="4"/>
        <v>25-34</v>
      </c>
      <c r="G183" t="str">
        <f t="shared" si="5"/>
        <v>High</v>
      </c>
    </row>
    <row r="184" spans="1:7" x14ac:dyDescent="0.3">
      <c r="A184">
        <v>183</v>
      </c>
      <c r="B184" t="s">
        <v>7</v>
      </c>
      <c r="C184">
        <v>46</v>
      </c>
      <c r="D184">
        <v>98</v>
      </c>
      <c r="E184">
        <v>15</v>
      </c>
      <c r="F184" t="str">
        <f t="shared" si="4"/>
        <v>45-54</v>
      </c>
      <c r="G184" t="str">
        <f t="shared" si="5"/>
        <v>High</v>
      </c>
    </row>
    <row r="185" spans="1:7" x14ac:dyDescent="0.3">
      <c r="A185">
        <v>184</v>
      </c>
      <c r="B185" t="s">
        <v>8</v>
      </c>
      <c r="C185">
        <v>29</v>
      </c>
      <c r="D185">
        <v>98</v>
      </c>
      <c r="E185">
        <v>88</v>
      </c>
      <c r="F185" t="str">
        <f t="shared" si="4"/>
        <v>25-34</v>
      </c>
      <c r="G185" t="str">
        <f t="shared" si="5"/>
        <v>High</v>
      </c>
    </row>
    <row r="186" spans="1:7" x14ac:dyDescent="0.3">
      <c r="A186">
        <v>185</v>
      </c>
      <c r="B186" t="s">
        <v>8</v>
      </c>
      <c r="C186">
        <v>41</v>
      </c>
      <c r="D186">
        <v>99</v>
      </c>
      <c r="E186">
        <v>39</v>
      </c>
      <c r="F186" t="str">
        <f t="shared" si="4"/>
        <v>35-44</v>
      </c>
      <c r="G186" t="str">
        <f t="shared" si="5"/>
        <v>High</v>
      </c>
    </row>
    <row r="187" spans="1:7" x14ac:dyDescent="0.3">
      <c r="A187">
        <v>186</v>
      </c>
      <c r="B187" t="s">
        <v>7</v>
      </c>
      <c r="C187">
        <v>30</v>
      </c>
      <c r="D187">
        <v>99</v>
      </c>
      <c r="E187">
        <v>97</v>
      </c>
      <c r="F187" t="str">
        <f t="shared" si="4"/>
        <v>25-34</v>
      </c>
      <c r="G187" t="str">
        <f t="shared" si="5"/>
        <v>High</v>
      </c>
    </row>
    <row r="188" spans="1:7" x14ac:dyDescent="0.3">
      <c r="A188">
        <v>187</v>
      </c>
      <c r="B188" t="s">
        <v>8</v>
      </c>
      <c r="C188">
        <v>54</v>
      </c>
      <c r="D188">
        <v>101</v>
      </c>
      <c r="E188">
        <v>24</v>
      </c>
      <c r="F188" t="str">
        <f t="shared" si="4"/>
        <v>45-54</v>
      </c>
      <c r="G188" t="str">
        <f t="shared" si="5"/>
        <v>High</v>
      </c>
    </row>
    <row r="189" spans="1:7" x14ac:dyDescent="0.3">
      <c r="A189">
        <v>188</v>
      </c>
      <c r="B189" t="s">
        <v>7</v>
      </c>
      <c r="C189">
        <v>28</v>
      </c>
      <c r="D189">
        <v>101</v>
      </c>
      <c r="E189">
        <v>68</v>
      </c>
      <c r="F189" t="str">
        <f t="shared" si="4"/>
        <v>25-34</v>
      </c>
      <c r="G189" t="str">
        <f t="shared" si="5"/>
        <v>High</v>
      </c>
    </row>
    <row r="190" spans="1:7" x14ac:dyDescent="0.3">
      <c r="A190">
        <v>189</v>
      </c>
      <c r="B190" t="s">
        <v>8</v>
      </c>
      <c r="C190">
        <v>41</v>
      </c>
      <c r="D190">
        <v>103</v>
      </c>
      <c r="E190">
        <v>17</v>
      </c>
      <c r="F190" t="str">
        <f t="shared" si="4"/>
        <v>35-44</v>
      </c>
      <c r="G190" t="str">
        <f t="shared" si="5"/>
        <v>High</v>
      </c>
    </row>
    <row r="191" spans="1:7" x14ac:dyDescent="0.3">
      <c r="A191">
        <v>190</v>
      </c>
      <c r="B191" t="s">
        <v>8</v>
      </c>
      <c r="C191">
        <v>36</v>
      </c>
      <c r="D191">
        <v>103</v>
      </c>
      <c r="E191">
        <v>85</v>
      </c>
      <c r="F191" t="str">
        <f t="shared" si="4"/>
        <v>35-44</v>
      </c>
      <c r="G191" t="str">
        <f t="shared" si="5"/>
        <v>High</v>
      </c>
    </row>
    <row r="192" spans="1:7" x14ac:dyDescent="0.3">
      <c r="A192">
        <v>191</v>
      </c>
      <c r="B192" t="s">
        <v>8</v>
      </c>
      <c r="C192">
        <v>34</v>
      </c>
      <c r="D192">
        <v>103</v>
      </c>
      <c r="E192">
        <v>23</v>
      </c>
      <c r="F192" t="str">
        <f t="shared" si="4"/>
        <v>25-34</v>
      </c>
      <c r="G192" t="str">
        <f t="shared" si="5"/>
        <v>High</v>
      </c>
    </row>
    <row r="193" spans="1:7" x14ac:dyDescent="0.3">
      <c r="A193">
        <v>192</v>
      </c>
      <c r="B193" t="s">
        <v>8</v>
      </c>
      <c r="C193">
        <v>32</v>
      </c>
      <c r="D193">
        <v>103</v>
      </c>
      <c r="E193">
        <v>69</v>
      </c>
      <c r="F193" t="str">
        <f t="shared" si="4"/>
        <v>25-34</v>
      </c>
      <c r="G193" t="str">
        <f t="shared" si="5"/>
        <v>High</v>
      </c>
    </row>
    <row r="194" spans="1:7" x14ac:dyDescent="0.3">
      <c r="A194">
        <v>193</v>
      </c>
      <c r="B194" t="s">
        <v>7</v>
      </c>
      <c r="C194">
        <v>33</v>
      </c>
      <c r="D194">
        <v>113</v>
      </c>
      <c r="E194">
        <v>8</v>
      </c>
      <c r="F194" t="str">
        <f t="shared" si="4"/>
        <v>25-34</v>
      </c>
      <c r="G194" t="str">
        <f t="shared" si="5"/>
        <v>High</v>
      </c>
    </row>
    <row r="195" spans="1:7" x14ac:dyDescent="0.3">
      <c r="A195">
        <v>194</v>
      </c>
      <c r="B195" t="s">
        <v>8</v>
      </c>
      <c r="C195">
        <v>38</v>
      </c>
      <c r="D195">
        <v>113</v>
      </c>
      <c r="E195">
        <v>91</v>
      </c>
      <c r="F195" t="str">
        <f t="shared" ref="F195:F201" si="6">IF(C195&lt;25,"&lt;25",IF(C195&lt;35,"25-34",IF(C195&lt;45,"35-44",IF(C195&lt;55,"45-54","55+"))))</f>
        <v>35-44</v>
      </c>
      <c r="G195" t="str">
        <f t="shared" ref="G195:G201" si="7">IF(D195&lt;40,"Low",IF(D195&lt;70,"Medium","High"))</f>
        <v>High</v>
      </c>
    </row>
    <row r="196" spans="1:7" x14ac:dyDescent="0.3">
      <c r="A196">
        <v>195</v>
      </c>
      <c r="B196" t="s">
        <v>8</v>
      </c>
      <c r="C196">
        <v>47</v>
      </c>
      <c r="D196">
        <v>120</v>
      </c>
      <c r="E196">
        <v>16</v>
      </c>
      <c r="F196" t="str">
        <f t="shared" si="6"/>
        <v>45-54</v>
      </c>
      <c r="G196" t="str">
        <f t="shared" si="7"/>
        <v>High</v>
      </c>
    </row>
    <row r="197" spans="1:7" x14ac:dyDescent="0.3">
      <c r="A197">
        <v>196</v>
      </c>
      <c r="B197" t="s">
        <v>8</v>
      </c>
      <c r="C197">
        <v>35</v>
      </c>
      <c r="D197">
        <v>120</v>
      </c>
      <c r="E197">
        <v>79</v>
      </c>
      <c r="F197" t="str">
        <f t="shared" si="6"/>
        <v>35-44</v>
      </c>
      <c r="G197" t="str">
        <f t="shared" si="7"/>
        <v>High</v>
      </c>
    </row>
    <row r="198" spans="1:7" x14ac:dyDescent="0.3">
      <c r="A198">
        <v>197</v>
      </c>
      <c r="B198" t="s">
        <v>8</v>
      </c>
      <c r="C198">
        <v>45</v>
      </c>
      <c r="D198">
        <v>126</v>
      </c>
      <c r="E198">
        <v>28</v>
      </c>
      <c r="F198" t="str">
        <f t="shared" si="6"/>
        <v>45-54</v>
      </c>
      <c r="G198" t="str">
        <f t="shared" si="7"/>
        <v>High</v>
      </c>
    </row>
    <row r="199" spans="1:7" x14ac:dyDescent="0.3">
      <c r="A199">
        <v>198</v>
      </c>
      <c r="B199" t="s">
        <v>7</v>
      </c>
      <c r="C199">
        <v>32</v>
      </c>
      <c r="D199">
        <v>126</v>
      </c>
      <c r="E199">
        <v>74</v>
      </c>
      <c r="F199" t="str">
        <f t="shared" si="6"/>
        <v>25-34</v>
      </c>
      <c r="G199" t="str">
        <f t="shared" si="7"/>
        <v>High</v>
      </c>
    </row>
    <row r="200" spans="1:7" x14ac:dyDescent="0.3">
      <c r="A200">
        <v>199</v>
      </c>
      <c r="B200" t="s">
        <v>7</v>
      </c>
      <c r="C200">
        <v>32</v>
      </c>
      <c r="D200">
        <v>137</v>
      </c>
      <c r="E200">
        <v>18</v>
      </c>
      <c r="F200" t="str">
        <f t="shared" si="6"/>
        <v>25-34</v>
      </c>
      <c r="G200" t="str">
        <f t="shared" si="7"/>
        <v>High</v>
      </c>
    </row>
    <row r="201" spans="1:7" x14ac:dyDescent="0.3">
      <c r="A201">
        <v>200</v>
      </c>
      <c r="B201" t="s">
        <v>7</v>
      </c>
      <c r="C201">
        <v>30</v>
      </c>
      <c r="D201">
        <v>137</v>
      </c>
      <c r="E201">
        <v>83</v>
      </c>
      <c r="F201" t="str">
        <f t="shared" si="6"/>
        <v>25-34</v>
      </c>
      <c r="G201" t="str">
        <f t="shared" si="7"/>
        <v>High</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Salsabila Dian Putri</cp:lastModifiedBy>
  <dcterms:created xsi:type="dcterms:W3CDTF">2025-11-05T00:56:19Z</dcterms:created>
  <dcterms:modified xsi:type="dcterms:W3CDTF">2025-11-07T01:58:23Z</dcterms:modified>
</cp:coreProperties>
</file>